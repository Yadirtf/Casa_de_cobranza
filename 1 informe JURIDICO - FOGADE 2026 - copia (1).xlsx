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6BE5C8FF-911A-4B4A-A26F-20AFEBC84974}" xr6:coauthVersionLast="46" xr6:coauthVersionMax="47" xr10:uidLastSave="{00000000-0000-0000-0000-000000000000}"/>
  <bookViews>
    <workbookView xWindow="-120" yWindow="-120" windowWidth="21840" windowHeight="13140" xr2:uid="{00000000-000D-0000-FFFF-FFFF00000000}"/>
  </bookViews>
  <sheets>
    <sheet name="Informe - Abril-Junio" sheetId="8" r:id="rId1"/>
  </sheets>
  <definedNames>
    <definedName name="_xlnm._FilterDatabase" localSheetId="0" hidden="1">'Informe - Abril-Junio'!$A$1:$V$75</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4"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WMOCOBR1</author>
  </authors>
  <commentList>
    <comment ref="V3" authorId="0" shapeId="0" xr:uid="{954F9C25-97CB-4C22-A059-F22E0A852BF4}">
      <text>
        <r>
          <rPr>
            <b/>
            <sz val="9"/>
            <color indexed="81"/>
            <rFont val="Tahoma"/>
            <family val="2"/>
          </rPr>
          <t>WMOCOBR1:</t>
        </r>
        <r>
          <rPr>
            <sz val="9"/>
            <color indexed="81"/>
            <rFont val="Tahoma"/>
            <family val="2"/>
          </rPr>
          <t xml:space="preserve">
1.ALTO
2.MEDIO
3.BAJO</t>
        </r>
      </text>
    </comment>
  </commentList>
</comments>
</file>

<file path=xl/sharedStrings.xml><?xml version="1.0" encoding="utf-8"?>
<sst xmlns="http://schemas.openxmlformats.org/spreadsheetml/2006/main" count="747" uniqueCount="498">
  <si>
    <t>FONDO DE GARANTIAS Y DESARROLLO S.A.S.  "FOGADE S.A.S."</t>
  </si>
  <si>
    <t>Fecha de corte: Marzo 2026</t>
  </si>
  <si>
    <t xml:space="preserve">INFORME JURÍDICO </t>
  </si>
  <si>
    <t>Abogada externo:  Dra. FLOR ABIHAIL VALLEJO GARCIA                                                                               CASA DE COBRANZAS DEL PUTUMAYO E.U.</t>
  </si>
  <si>
    <t>ITEM</t>
  </si>
  <si>
    <t>N° IDENTIFICACION DEUDOR (a)</t>
  </si>
  <si>
    <t xml:space="preserve">NOMBRES  DEDUOR (ES)   </t>
  </si>
  <si>
    <t xml:space="preserve">NOMBRES  CODEUDOR (ES)   - número de identificación </t>
  </si>
  <si>
    <t>FECHA  REPARTO  DE INGRESO</t>
  </si>
  <si>
    <t>Nro. CRÉDITO   FOGADE</t>
  </si>
  <si>
    <t>Nro. PAGARE</t>
  </si>
  <si>
    <t xml:space="preserve"> SALDO  CAPITAL  DEMANDADO</t>
  </si>
  <si>
    <t>MUNICIPIO</t>
  </si>
  <si>
    <t xml:space="preserve">PRESENTACIÓN DEMANDA </t>
  </si>
  <si>
    <t>JUZGADO</t>
  </si>
  <si>
    <t>RADICADO</t>
  </si>
  <si>
    <t>MEDIDA CAUTELAR  SOLICITADA</t>
  </si>
  <si>
    <t>MANDAMIENTO DE PAGO</t>
  </si>
  <si>
    <t>NOTIFICACIÓN</t>
  </si>
  <si>
    <t>AUTO SEGUIR ADELANTE EJECUCION</t>
  </si>
  <si>
    <t xml:space="preserve"> LIQUIDACION  CREDITO APROBADA   </t>
  </si>
  <si>
    <t>FECHA SECUESTRO / RETENCION / REMATES / REMANENTES</t>
  </si>
  <si>
    <t>ESTADO ACTUAL</t>
  </si>
  <si>
    <t xml:space="preserve">TOTAL RECAUDO DE TITULOS/O ABONOS EN EFECTIVO A LA FECHA  </t>
  </si>
  <si>
    <t>OBSERVACIÓN</t>
  </si>
  <si>
    <t>NIVEL DE RECUPERACION CONTRATISTA</t>
  </si>
  <si>
    <t xml:space="preserve"> BRENDA  CATALINA CAMPAÑA CUELLAR</t>
  </si>
  <si>
    <t>DAVILA SOLARTE EMMANUEL                                                                                                                                                                                                                         C.C. No. 18129602                                                                                                                                                                                                                                                                                LEIDY  ESTEFANI    PAZU MORALES                                                                                                                                                                                                                                           C.C. No. 1007748243</t>
  </si>
  <si>
    <t>MOCOA</t>
  </si>
  <si>
    <t xml:space="preserve">SEGUNDO CIVIL MUNICIPAL </t>
  </si>
  <si>
    <t>2024-59</t>
  </si>
  <si>
    <r>
      <rPr>
        <b/>
        <sz val="11"/>
        <rFont val="Arial"/>
        <family val="2"/>
      </rPr>
      <t>EMBARGO Y SECUESTRO</t>
    </r>
    <r>
      <rPr>
        <sz val="11"/>
        <rFont val="Arial"/>
        <family val="2"/>
      </rPr>
      <t xml:space="preserve"> del bien inmueble M.I. 440-62423 - ORIP Mocoa - propiedad de Emmanuel Dávila.    </t>
    </r>
  </si>
  <si>
    <t xml:space="preserve">                                                                                    11-4-2024   Brenda Campaña                                                                                                                   16-4-2024 Emmanuel D. </t>
  </si>
  <si>
    <t>CON DILIGENCIA DE SECUESTRO</t>
  </si>
  <si>
    <t xml:space="preserve">En gestión presentación de avalúo comercial. </t>
  </si>
  <si>
    <t xml:space="preserve">13/02/2026: Juzgado aprueba liquidación de crédito                                                      7/03/2026: Se hace consulta de bienes suceptibles de embargo: respuesta negativa.                         </t>
  </si>
  <si>
    <t>ALTO</t>
  </si>
  <si>
    <t xml:space="preserve">LEIDER JEREMIAS GÓMEZ ÁLVAREZ                                                                                                                                     </t>
  </si>
  <si>
    <t xml:space="preserve">  SONIA NELSY ÁLVAREZ CORPUS                                                                    C.C. No. 69023148</t>
  </si>
  <si>
    <t>0300000066</t>
  </si>
  <si>
    <t>2025-00210</t>
  </si>
  <si>
    <r>
      <rPr>
        <b/>
        <sz val="11"/>
        <rFont val="Arial"/>
        <family val="2"/>
      </rPr>
      <t>EMBARGO Y SECUESTRO</t>
    </r>
    <r>
      <rPr>
        <sz val="11"/>
        <rFont val="Arial"/>
        <family val="2"/>
      </rPr>
      <t xml:space="preserve"> : Moto placas UUJ88F , modelo 2022</t>
    </r>
  </si>
  <si>
    <t>REGISTRADA MEDIDA DE EMBARGO.</t>
  </si>
  <si>
    <t xml:space="preserve">En inmovilización </t>
  </si>
  <si>
    <t xml:space="preserve">MEDIO </t>
  </si>
  <si>
    <t>CARLOS WEIMAR ARDILA CORAL</t>
  </si>
  <si>
    <t xml:space="preserve">PRIMERO CIVIL MUNICIPAL </t>
  </si>
  <si>
    <t>2024-00228       prendaria</t>
  </si>
  <si>
    <r>
      <rPr>
        <b/>
        <sz val="11"/>
        <rFont val="Arial"/>
        <family val="2"/>
      </rPr>
      <t xml:space="preserve">EMBARGO Y SECUESTRO: </t>
    </r>
    <r>
      <rPr>
        <sz val="11"/>
        <rFont val="Arial"/>
        <family val="2"/>
      </rPr>
      <t>Bien mueble, PRENDA - moto placas OML86F, modelo 2021</t>
    </r>
  </si>
  <si>
    <t xml:space="preserve">CON ORDEN DE INMOVILIZACIÓN, RADICADA. </t>
  </si>
  <si>
    <t xml:space="preserve">ALVARO ENRIQUE FAJARDO PANTOJA </t>
  </si>
  <si>
    <t>JULIO OLIVIO FAJARDO PANTOJA                                                                                                              C.C. No. 5297409</t>
  </si>
  <si>
    <t>2025-00201</t>
  </si>
  <si>
    <r>
      <rPr>
        <b/>
        <sz val="11"/>
        <color rgb="FF000000"/>
        <rFont val="Arial"/>
      </rPr>
      <t>EMBARGO Y SECUESTRO</t>
    </r>
    <r>
      <rPr>
        <sz val="11"/>
        <color rgb="FF000000"/>
        <rFont val="Arial"/>
      </rPr>
      <t xml:space="preserve"> motocicleta placas BCL42G - modelo 2022 - propiedad de       Alvaro F.                                                                                                                                </t>
    </r>
    <r>
      <rPr>
        <b/>
        <sz val="11"/>
        <color rgb="FF000000"/>
        <rFont val="Arial"/>
      </rPr>
      <t>EMBARGO  Y RETENCIÓN  por REMANENTE</t>
    </r>
    <r>
      <rPr>
        <sz val="11"/>
        <color rgb="FF000000"/>
        <rFont val="Arial"/>
      </rPr>
      <t xml:space="preserve"> 2021-00033  J1CM Mocoa -  Julio Fajardo. </t>
    </r>
  </si>
  <si>
    <t xml:space="preserve">10-09-2025 Alvaro F. </t>
  </si>
  <si>
    <t xml:space="preserve">CON REGISTRO REMANENTE.                                                                         REGISTRADO EMBARGO MOTO </t>
  </si>
  <si>
    <t>Con acuerdo de pago</t>
  </si>
  <si>
    <t>LUIS ADAN BUITRAGO NASTACUAS</t>
  </si>
  <si>
    <t>AURA ELIZA GUERRA    C.C. No. 69010200</t>
  </si>
  <si>
    <t>2025-00483</t>
  </si>
  <si>
    <r>
      <rPr>
        <b/>
        <sz val="11"/>
        <rFont val="Arial"/>
        <family val="2"/>
      </rPr>
      <t>EMBARGO Y SECUESTRO</t>
    </r>
    <r>
      <rPr>
        <sz val="11"/>
        <rFont val="Arial"/>
        <family val="2"/>
      </rPr>
      <t xml:space="preserve"> motocicleta placas SMM58G - modelo 2024 - propiedad de  Luis Adan Buitrago.                                                                                                             </t>
    </r>
  </si>
  <si>
    <t>En trámite procesal</t>
  </si>
  <si>
    <t xml:space="preserve">   27/03/2026: Se hizo consulta de bienes suceptibles de embargo: Respuesta negativa.                                                                                                             </t>
  </si>
  <si>
    <t>DIEGO HERNAN ALVAREZ FAJARDO</t>
  </si>
  <si>
    <t>FRANCISCO DAVID  ALVAREZ FAJARDO                                                                                                                                                                                                                                                            C.C. NO. 18104101</t>
  </si>
  <si>
    <t>0900000590</t>
  </si>
  <si>
    <t>VILLAGARZON</t>
  </si>
  <si>
    <t xml:space="preserve">SEGUNDO PROMISCUO MUNICIPAL </t>
  </si>
  <si>
    <t>2024-00038</t>
  </si>
  <si>
    <r>
      <rPr>
        <b/>
        <sz val="11"/>
        <color rgb="FF000000"/>
        <rFont val="Arial"/>
      </rPr>
      <t>EMBARGO Y SECUESTRO</t>
    </r>
    <r>
      <rPr>
        <sz val="11"/>
        <color rgb="FF000000"/>
        <rFont val="Arial"/>
      </rPr>
      <t xml:space="preserve">,  cuota parte del bien inmueble      M.I. 442-60303 de la ORIP Puerto Asís -  de propiedad de Francisco David Alvarez Fajardo.   </t>
    </r>
    <r>
      <rPr>
        <b/>
        <sz val="11"/>
        <color rgb="FF000000"/>
        <rFont val="Arial"/>
      </rPr>
      <t>EMBARGO  Y SECUESTRO</t>
    </r>
    <r>
      <rPr>
        <sz val="11"/>
        <color rgb="FF000000"/>
        <rFont val="Arial"/>
      </rPr>
      <t xml:space="preserve"> moto de placas OMI79F - Registro Departamento Administrativo dETránsito y Transporte  Putumayo  - Propiedad de Diego Hernán Alvarez. </t>
    </r>
  </si>
  <si>
    <t xml:space="preserve">Notificados por conducta concluyente. </t>
  </si>
  <si>
    <t>CON REGISTROS DE EMBARGOS: BIEN INMUEBLE Y MOTOCICLETA</t>
  </si>
  <si>
    <t xml:space="preserve">En trámite Despacho judicial </t>
  </si>
  <si>
    <t>19/12/2025: Auto decretando la terminación del proceso.</t>
  </si>
  <si>
    <t xml:space="preserve">WILLIAN FERNANDO DESCANSE MUÑOZ                                          </t>
  </si>
  <si>
    <t>JAMID DIAZ ROJAS                                                     C.C. No. 18127379</t>
  </si>
  <si>
    <t>0900000663</t>
  </si>
  <si>
    <t xml:space="preserve">PRIMERO PROMISCUO MUNICIPAL </t>
  </si>
  <si>
    <t>2024-00030</t>
  </si>
  <si>
    <r>
      <rPr>
        <b/>
        <sz val="11"/>
        <rFont val="Arial"/>
        <family val="2"/>
      </rPr>
      <t>EMBARGO Y RETENCION</t>
    </r>
    <r>
      <rPr>
        <sz val="11"/>
        <rFont val="Arial"/>
        <family val="2"/>
      </rPr>
      <t xml:space="preserve"> de la quinta parte que exceda del S.M.L.V.  y/o el 100% de los dineros  que perciban los demandados, en CONFIPEROL S.AS.</t>
    </r>
  </si>
  <si>
    <t xml:space="preserve">   19-7-2024  William, Jamid  </t>
  </si>
  <si>
    <t xml:space="preserve">CON RETENCIÓN DE TÍTULOS del Sr. Jamid. Díaz. </t>
  </si>
  <si>
    <t>En  trámite procesal</t>
  </si>
  <si>
    <t>LUZ  MARIA MUCHACHASOY MUTUMBAJOY</t>
  </si>
  <si>
    <t>AMADEO SANCHEZ OJEDA                         C.C. No. 12830200</t>
  </si>
  <si>
    <t xml:space="preserve">PROMISCUO MUNICIPAL </t>
  </si>
  <si>
    <t>2025-00141</t>
  </si>
  <si>
    <r>
      <rPr>
        <b/>
        <sz val="11"/>
        <color rgb="FF000000"/>
        <rFont val="Arial"/>
      </rPr>
      <t>EMBARGO Y SECUESTRO</t>
    </r>
    <r>
      <rPr>
        <sz val="11"/>
        <color rgb="FF000000"/>
        <rFont val="Arial"/>
      </rPr>
      <t xml:space="preserve"> bienes inmuebles - propiedad de Luz Ma. M.  MI.I. 440-69191   ORIP Mocoa, y   M.I. 200-151121 ORIP Huila. </t>
    </r>
  </si>
  <si>
    <t>09-09-2025 Luz  María Ch.</t>
  </si>
  <si>
    <t xml:space="preserve">En trámite procesal </t>
  </si>
  <si>
    <t xml:space="preserve">ELIEL MAKALISTERD </t>
  </si>
  <si>
    <t>KEYBER CASTAÑO PAZOS                                       C.C. No. 1114818251</t>
  </si>
  <si>
    <t>2025-00135</t>
  </si>
  <si>
    <r>
      <rPr>
        <b/>
        <sz val="11"/>
        <color rgb="FF000000"/>
        <rFont val="Arial"/>
      </rPr>
      <t>EMBARGO  Y RETENCIÓN</t>
    </r>
    <r>
      <rPr>
        <sz val="11"/>
        <color rgb="FF000000"/>
        <rFont val="Arial"/>
      </rPr>
      <t xml:space="preserve">   de la quinta parte que exceda del S.M.L.V.   Sr. Eliel C. en Consorcio Vías. </t>
    </r>
  </si>
  <si>
    <t xml:space="preserve">CON RETENCIÓN DE TÍTULOS. </t>
  </si>
  <si>
    <t>MILDRETH YAQUELINE SOTO BUESAQUILLO</t>
  </si>
  <si>
    <t>FLORENTINO LÓPEZ DAVID                                                                  C.C. No. 18156263</t>
  </si>
  <si>
    <t>0300000219</t>
  </si>
  <si>
    <t>2025-394</t>
  </si>
  <si>
    <r>
      <rPr>
        <b/>
        <sz val="11"/>
        <color rgb="FF000000"/>
        <rFont val="Arial"/>
      </rPr>
      <t>EMBARGO Y SECUESTRO</t>
    </r>
    <r>
      <rPr>
        <sz val="11"/>
        <color rgb="FF000000"/>
        <rFont val="Arial"/>
      </rPr>
      <t xml:space="preserve"> motocicleta - placas IPW41G- modelo 2024 - propiedad  Mildreth Yaqueline Soto   E</t>
    </r>
    <r>
      <rPr>
        <b/>
        <sz val="11"/>
        <color rgb="FF000000"/>
        <rFont val="Arial"/>
      </rPr>
      <t>MBARGO Y RETENCIÓN:</t>
    </r>
    <r>
      <rPr>
        <sz val="11"/>
        <color rgb="FF000000"/>
        <rFont val="Arial"/>
      </rPr>
      <t xml:space="preserve">  de la 5ta parte que exceda del SMMLV en contra del Sr. Florentino si su calidad laboral es la de empleado o el 30% de los dineros que perciba por contratos de cualquier indole.</t>
    </r>
  </si>
  <si>
    <t>En tramite procesal</t>
  </si>
  <si>
    <t>16/12/2025: Se libra mandamiento de pago a favor de Fogade.                                   16/1/2026: Oficio dirijido a Transito Departamental del Putumayo para el cumplimiento de la medida decretada                                         9/03/2026: Se solicito medida cautelar de embargo y retención de la 5ta parte que exceda del SMMLV en contra del Sr. Florentino si su calidad laboral es la de empleado o el 30% de los dineros que perciba por contratos de cualquier indole.</t>
  </si>
  <si>
    <t>FRANKLIN YESID CORTEZ MARTINEZ</t>
  </si>
  <si>
    <t>WILLIAM HERNANDO CORTEZ BALTAZAR                                                                                                                                                                                                                                                                              C.C.No. 18125237</t>
  </si>
  <si>
    <t>PUERTO GUZMAN</t>
  </si>
  <si>
    <t>2024-00125</t>
  </si>
  <si>
    <r>
      <rPr>
        <b/>
        <sz val="11"/>
        <color rgb="FF000000"/>
        <rFont val="Arial"/>
      </rPr>
      <t>EMBARGO Y SECUESTRO</t>
    </r>
    <r>
      <rPr>
        <sz val="11"/>
        <color rgb="FF000000"/>
        <rFont val="Arial"/>
      </rPr>
      <t xml:space="preserve"> de motocicleta  placas OML26F, modelo 2021  de propiedad de Franklin Yesid Cortez.  - Departamento Adminsitrativo  de Tránsito y Transporte  Putumayo </t>
    </r>
    <r>
      <rPr>
        <b/>
        <sz val="11"/>
        <color rgb="FF000000"/>
        <rFont val="Arial"/>
      </rPr>
      <t>EMBARGO Y RETENCIÓN  - REMANENTE</t>
    </r>
    <r>
      <rPr>
        <sz val="11"/>
        <color rgb="FF000000"/>
        <rFont val="Arial"/>
      </rPr>
      <t xml:space="preserve"> de:  2017-266, Juzgado Primero Civil Mpal de Mocoa.   </t>
    </r>
    <r>
      <rPr>
        <b/>
        <sz val="11"/>
        <color rgb="FF000000"/>
        <rFont val="Arial"/>
      </rPr>
      <t xml:space="preserve">EMBARGO Y RETENCIÓN - REMANENTE </t>
    </r>
    <r>
      <rPr>
        <sz val="11"/>
        <color rgb="FF000000"/>
        <rFont val="Arial"/>
      </rPr>
      <t xml:space="preserve">de:  2017-279, 2017-285  del Juzgado Segundo Civil Mpal de Mocoa </t>
    </r>
  </si>
  <si>
    <t>* CON ORDEN DE INMOVILIZACIÓN.                                                                               * CON REGISTRO REMANENTES:  sobre el 2017-266                            (4 lugar), sobre 2017-279 (1turno),  sobre 2017-285 (2 turno).</t>
  </si>
  <si>
    <t>En trámite de inmovilización (Policía Nacional)</t>
  </si>
  <si>
    <t>MARIA SONYA  CAICEDO LÓPEZ</t>
  </si>
  <si>
    <t>YEROBY PATIÑO TORRES                                                         C.C. No. 87452062</t>
  </si>
  <si>
    <t>SIBUNDOY</t>
  </si>
  <si>
    <t>2025-00150</t>
  </si>
  <si>
    <r>
      <rPr>
        <b/>
        <sz val="11"/>
        <color theme="1"/>
        <rFont val="Arial"/>
        <family val="2"/>
      </rPr>
      <t>EMBARGO Y SECUESTRO</t>
    </r>
    <r>
      <rPr>
        <sz val="11"/>
        <color theme="1"/>
        <rFont val="Arial"/>
        <family val="2"/>
      </rPr>
      <t xml:space="preserve">  bien inmueble M.I. 442-40520 ORIP Puerto Asís.  Propiedad de Yeroby Patiño Torres</t>
    </r>
  </si>
  <si>
    <t xml:space="preserve">06-08-2025 Maria Sonya C. </t>
  </si>
  <si>
    <t xml:space="preserve">CON REGISTRO DE EMBARGO. </t>
  </si>
  <si>
    <t>En trámite  diligencia de secuestro.</t>
  </si>
  <si>
    <t xml:space="preserve">JULIO HERNANDO NASTACUAS CORTES                            </t>
  </si>
  <si>
    <t>CLAUDIA LORENA NASTACUAS CORTES                                                                                                                                                                                                 C.C. No. 1123205303</t>
  </si>
  <si>
    <t>0600001771</t>
  </si>
  <si>
    <t xml:space="preserve">PTO ASIS </t>
  </si>
  <si>
    <t>2024-00152</t>
  </si>
  <si>
    <t xml:space="preserve">*CON REGISTRO DE EMBARGO.                          (Acreedor RENTAR INVERSIONES LTDA - notificado)                                                           </t>
  </si>
  <si>
    <t>En trámite de inmovilización</t>
  </si>
  <si>
    <t>JHON JASI ROSERO PEREZ</t>
  </si>
  <si>
    <t>0600001472</t>
  </si>
  <si>
    <t>2024-00151</t>
  </si>
  <si>
    <t>CON REGISTRO DE EMBARGO - MOTO.</t>
  </si>
  <si>
    <t>En verificación cumplimiento de  inmovilización</t>
  </si>
  <si>
    <t xml:space="preserve">LEDIS AMPARO CHAVARRIA MISAS                                                                                                           </t>
  </si>
  <si>
    <r>
      <t>RUTH ARCINIEGAS TAPIA                                                                                                                                                     C.C. No. 69026316                                  (</t>
    </r>
    <r>
      <rPr>
        <b/>
        <sz val="11"/>
        <rFont val="Arial"/>
        <family val="2"/>
      </rPr>
      <t>Se renunció a la solidaridad</t>
    </r>
    <r>
      <rPr>
        <sz val="11"/>
        <rFont val="Arial"/>
        <family val="2"/>
      </rPr>
      <t>)</t>
    </r>
  </si>
  <si>
    <t xml:space="preserve">2024-00149   prendaria </t>
  </si>
  <si>
    <r>
      <rPr>
        <b/>
        <sz val="11"/>
        <rFont val="Arial"/>
        <family val="2"/>
      </rPr>
      <t>EMBARGO Y SECUESTRO</t>
    </r>
    <r>
      <rPr>
        <sz val="11"/>
        <rFont val="Arial"/>
        <family val="2"/>
      </rPr>
      <t>, de motocicleta placas JHD35F, modelo 2021  de propiedad de Ledis Amparo Chavarria -    Instituto  Municipal Transporte y Movilidad - IMTRAM  Puerto Asís</t>
    </r>
  </si>
  <si>
    <t xml:space="preserve">12-10-2024 LEDIS AMPARO CH. </t>
  </si>
  <si>
    <t xml:space="preserve">Con radicación orden de inmovilización </t>
  </si>
  <si>
    <t>DIEGO RENE MARTÍNEZ MALAVER</t>
  </si>
  <si>
    <t>CARLOS ALBERTO RODON PANQUEVA                                                                                   C.C. No. 4250923</t>
  </si>
  <si>
    <t>0300000132</t>
  </si>
  <si>
    <t>2025-00127</t>
  </si>
  <si>
    <r>
      <rPr>
        <b/>
        <sz val="11"/>
        <rFont val="Arial"/>
        <family val="2"/>
      </rPr>
      <t>EMBARGO Y SECUESTRO</t>
    </r>
    <r>
      <rPr>
        <sz val="11"/>
        <rFont val="Arial"/>
        <family val="2"/>
      </rPr>
      <t xml:space="preserve">  motocicleta placas  NGD23G - modelo 2023 - Propiedad de Rene M.</t>
    </r>
  </si>
  <si>
    <t xml:space="preserve">06-8-2025  Diego M. </t>
  </si>
  <si>
    <t>Radicada orden/ inmovilización.</t>
  </si>
  <si>
    <t xml:space="preserve">MARÍA JOSÉ MONTERO ECHEVERRY                                     </t>
  </si>
  <si>
    <t>ROBINSON CEBALLOS SANTANDER                                                                                                                                                                                                                                                                                                                 C.C. No.  112310861</t>
  </si>
  <si>
    <t>2024-00083</t>
  </si>
  <si>
    <r>
      <rPr>
        <b/>
        <sz val="11"/>
        <rFont val="Arial"/>
        <family val="2"/>
      </rPr>
      <t>EMBARGO Y SECUESTRO</t>
    </r>
    <r>
      <rPr>
        <sz val="11"/>
        <rFont val="Arial"/>
        <family val="2"/>
      </rPr>
      <t>, de motocicleta placas JHQ63F,  modelo 2021 - propiedad de Ma. José Montero.  -   Instituto  Municipal Transporte y Movilidad - IMTRAM  Puerto Asís</t>
    </r>
  </si>
  <si>
    <t xml:space="preserve">15-8-2024                                      Sra. María José M. </t>
  </si>
  <si>
    <t xml:space="preserve">En trámite despacho judicial </t>
  </si>
  <si>
    <t xml:space="preserve">JOSE ARNEY OLAYA                                                                                                                                                                                          </t>
  </si>
  <si>
    <t>MARCIAL GONZALES OLAYA                                                                                                                                                                                                                                                                                                        C.C. No. 1120096013</t>
  </si>
  <si>
    <t>0600001704</t>
  </si>
  <si>
    <t>2024-00142</t>
  </si>
  <si>
    <r>
      <rPr>
        <b/>
        <sz val="11"/>
        <rFont val="Arial"/>
        <family val="2"/>
      </rPr>
      <t>EMBARGO Y SECUESTRO</t>
    </r>
    <r>
      <rPr>
        <sz val="11"/>
        <rFont val="Arial"/>
        <family val="2"/>
      </rPr>
      <t xml:space="preserve">  - PRENDARIA -  de motocicleta placas VPN58F,  modelo 2022, de propiedad de José Arney Olaya. </t>
    </r>
  </si>
  <si>
    <t>En gestión de solicitud Certificado Tránsito y Transporte Puerto Asís</t>
  </si>
  <si>
    <t>CLAUDIA PAOLA GONZALES VELEZ</t>
  </si>
  <si>
    <t>2024-00145</t>
  </si>
  <si>
    <r>
      <rPr>
        <b/>
        <sz val="11"/>
        <rFont val="Arial"/>
        <family val="2"/>
      </rPr>
      <t>EMBARGO Y SECUESTRO</t>
    </r>
    <r>
      <rPr>
        <sz val="11"/>
        <rFont val="Arial"/>
        <family val="2"/>
      </rPr>
      <t xml:space="preserve">, vehículo motocicleta  de placas PZO11F - modelo 2022 -  Instituto  Mpal de  Transporte  y movilidad IMTRAM - Pto Asís. </t>
    </r>
  </si>
  <si>
    <t>ALEX EFREN MONAGA ALZATE</t>
  </si>
  <si>
    <t>WILSON ARNOBI  MONAGA ALZATE                                                                                                                                 C.C. NO. 97435451</t>
  </si>
  <si>
    <t>0300000130</t>
  </si>
  <si>
    <t>2025-00128</t>
  </si>
  <si>
    <r>
      <rPr>
        <b/>
        <sz val="11"/>
        <rFont val="Arial"/>
        <family val="2"/>
      </rPr>
      <t>EMBARGO Y SECUESTRO</t>
    </r>
    <r>
      <rPr>
        <sz val="11"/>
        <rFont val="Arial"/>
        <family val="2"/>
      </rPr>
      <t xml:space="preserve">  motocicleta placas BWS19G - modelo 2022 - propiedad Alex M.                                                                                                                                                                                                                                                                                                                                                                                                    </t>
    </r>
  </si>
  <si>
    <t xml:space="preserve">16/03/2026: Consuta de bienes suceptibles de embargo - Consultas negativas.                                                                                                                                       </t>
  </si>
  <si>
    <t xml:space="preserve">KENER ELIUD AREVALO DIAZ </t>
  </si>
  <si>
    <t>0600001554</t>
  </si>
  <si>
    <t>2025-00129</t>
  </si>
  <si>
    <r>
      <rPr>
        <b/>
        <sz val="11"/>
        <color rgb="FF000000"/>
        <rFont val="Arial"/>
      </rPr>
      <t>EMBARGO Y SECUESTRO</t>
    </r>
    <r>
      <rPr>
        <sz val="11"/>
        <color rgb="FF000000"/>
        <rFont val="Arial"/>
      </rPr>
      <t xml:space="preserve">  motocicleta placas PZP83F - modelo 2022 - </t>
    </r>
  </si>
  <si>
    <t>En gestión de solicitud inmovilización.</t>
  </si>
  <si>
    <t>23/02/2026: Auto de seguir adelante la ejecución.</t>
  </si>
  <si>
    <t>EDWIN RODOLFO GÓMEZ RUEDA</t>
  </si>
  <si>
    <t>030000054</t>
  </si>
  <si>
    <t>PUERTO LEGUIZAMO</t>
  </si>
  <si>
    <t>2025-00143</t>
  </si>
  <si>
    <r>
      <rPr>
        <b/>
        <sz val="11"/>
        <color rgb="FF000000"/>
        <rFont val="Arial"/>
      </rPr>
      <t xml:space="preserve">EMBARGO Y SECUESTRO  </t>
    </r>
    <r>
      <rPr>
        <sz val="11"/>
        <color rgb="FF000000"/>
        <rFont val="Arial"/>
      </rPr>
      <t xml:space="preserve">motocicleta placas YLM74F - modelo 2022 - propiedad Edwin G. </t>
    </r>
    <r>
      <rPr>
        <b/>
        <sz val="11"/>
        <color rgb="FF000000"/>
        <rFont val="Arial"/>
      </rPr>
      <t>EMBARGO Y RETENCIÓN</t>
    </r>
    <r>
      <rPr>
        <sz val="11"/>
        <color rgb="FF000000"/>
        <rFont val="Arial"/>
      </rPr>
      <t xml:space="preserve"> 5ta parte que exceda del S.M.L.V.  En su calidad de docente. adscrito a la Secretaría de Educación Departamental del Putumayo. </t>
    </r>
  </si>
  <si>
    <t xml:space="preserve">CON RETENCIÓN DE TÍTULOS  </t>
  </si>
  <si>
    <t xml:space="preserve">Con reporte de títulos  a FOGADE </t>
  </si>
  <si>
    <t xml:space="preserve">MIGUEL HERNANDO IGUA MONTILLA </t>
  </si>
  <si>
    <t>CAMILO ARTURO TASCON RECIO                                                                                                                                                                                                                                                                                                                                                                                                                                                                                                                                C.C. No. 6185548</t>
  </si>
  <si>
    <t>ORITO</t>
  </si>
  <si>
    <t>2024-00069</t>
  </si>
  <si>
    <r>
      <rPr>
        <b/>
        <sz val="11"/>
        <color rgb="FF000000"/>
        <rFont val="Arial"/>
      </rPr>
      <t>EMBARGO Y SECUESTRO</t>
    </r>
    <r>
      <rPr>
        <sz val="11"/>
        <color rgb="FF000000"/>
        <rFont val="Arial"/>
      </rPr>
      <t xml:space="preserve">  del establecimiento comercial  CEPEB - ubicado en Orito (P) de propiedad  de Miguel Igual                                                                                                                                                                                                                                                                                                                                                                                                                   </t>
    </r>
    <r>
      <rPr>
        <b/>
        <sz val="11"/>
        <color rgb="FF000000"/>
        <rFont val="Arial"/>
      </rPr>
      <t>EMBARGO Y SECUESTRO</t>
    </r>
    <r>
      <rPr>
        <sz val="11"/>
        <color rgb="FF000000"/>
        <rFont val="Arial"/>
      </rPr>
      <t xml:space="preserve"> de motocicleta  de placas JAZ82F modelo 2021</t>
    </r>
  </si>
  <si>
    <t xml:space="preserve">20-11-2024  Sr. Camilo T. </t>
  </si>
  <si>
    <t xml:space="preserve">CON REGISTRO DE EMBARGO DEL ESTABLECIMIENTO COMERCIAL. </t>
  </si>
  <si>
    <t xml:space="preserve">26/03/2026: Se radicó solicitud de la actualización del expediente digital, ya que no se observaban peticiones que se habian hecho. </t>
  </si>
  <si>
    <t>ZULEYDI ALVARADO</t>
  </si>
  <si>
    <t>FREDY FERNANDO FAJARDO FIGUEROA  C.C. No. 1123320895</t>
  </si>
  <si>
    <t>0300000137</t>
  </si>
  <si>
    <r>
      <rPr>
        <b/>
        <sz val="11"/>
        <color rgb="FF000000"/>
        <rFont val="Arial"/>
      </rPr>
      <t>EMBARGO Y SECUESTRO</t>
    </r>
    <r>
      <rPr>
        <sz val="11"/>
        <color rgb="FF000000"/>
        <rFont val="Arial"/>
      </rPr>
      <t xml:space="preserve"> motocicleta plcas SOD42F  modelo 2022.    </t>
    </r>
  </si>
  <si>
    <t>En trámite procesal de admisión</t>
  </si>
  <si>
    <t>IVAN ENRIQUE VASQUEZ BARREIRO</t>
  </si>
  <si>
    <t>BRAYAN DAVID  ESTACIO  BARREIRO                                                                      C.C. No. 1122340111</t>
  </si>
  <si>
    <t>0700001704</t>
  </si>
  <si>
    <t xml:space="preserve">SAN MIGUEL </t>
  </si>
  <si>
    <t>PRIMERO PROMISCUO MUNICIPAL</t>
  </si>
  <si>
    <t>2024-00034</t>
  </si>
  <si>
    <r>
      <rPr>
        <b/>
        <sz val="11"/>
        <rFont val="Arial"/>
        <family val="2"/>
      </rPr>
      <t>EMBARGO Y SECUESTRO</t>
    </r>
    <r>
      <rPr>
        <sz val="11"/>
        <rFont val="Arial"/>
        <family val="2"/>
      </rPr>
      <t>, vehículo motocicleta  de placas COA19G - modelo 2022 - propiedad  de Ivan Enrique Vasquez Barreiro  - Tránsito  y Transporte  Municipal Valle del Guamuez (La Hormiga)</t>
    </r>
  </si>
  <si>
    <t xml:space="preserve">10-5-2024  Brayan.                                          22-7-2024  Ivan </t>
  </si>
  <si>
    <t xml:space="preserve">CON REGISTRO DE EMBARGO </t>
  </si>
  <si>
    <t xml:space="preserve">En gestión inmovilización </t>
  </si>
  <si>
    <t>JIMMY JAIR LAGUNA CHAVEZ</t>
  </si>
  <si>
    <t>ANGGY ROCIO JIMENEZ ALVAREZ                                                                                                       C.C. No. 1126454744</t>
  </si>
  <si>
    <t>0300000079</t>
  </si>
  <si>
    <t>VALLE DEL GUAMUEZ                                (La Hormiga)</t>
  </si>
  <si>
    <t>2025-00142</t>
  </si>
  <si>
    <r>
      <rPr>
        <b/>
        <sz val="11"/>
        <color rgb="FF000000"/>
        <rFont val="Arial"/>
      </rPr>
      <t>EMBARGO Y SECUESTRO</t>
    </r>
    <r>
      <rPr>
        <sz val="11"/>
        <color rgb="FF000000"/>
        <rFont val="Arial"/>
      </rPr>
      <t xml:space="preserve"> motocicleta plcas XTN60F modelo 2022.</t>
    </r>
  </si>
  <si>
    <t>WILLIAN ANDRES ERAZO BACA</t>
  </si>
  <si>
    <t>JHON EYDER VERGARA HERNANDEZ                                                                                                   C.C. No. 1059989423</t>
  </si>
  <si>
    <t>0300000075</t>
  </si>
  <si>
    <r>
      <rPr>
        <b/>
        <sz val="11"/>
        <color rgb="FF000000"/>
        <rFont val="Arial"/>
      </rPr>
      <t>EMBARGO Y SECUESTRO</t>
    </r>
    <r>
      <rPr>
        <sz val="11"/>
        <color rgb="FF000000"/>
        <rFont val="Arial"/>
      </rPr>
      <t xml:space="preserve">  motocicleta placas AIZ37G - modelo 2022 - propiedad de Willian E. </t>
    </r>
    <r>
      <rPr>
        <b/>
        <sz val="11"/>
        <color rgb="FF000000"/>
        <rFont val="Arial"/>
      </rPr>
      <t>EMBARGO Y RETENCIÓN</t>
    </r>
    <r>
      <rPr>
        <sz val="11"/>
        <color rgb="FF000000"/>
        <rFont val="Arial"/>
      </rPr>
      <t xml:space="preserve"> 5ta parte que exceda del SM.L.V. calidad de miembros del Ejército Nacional. </t>
    </r>
  </si>
  <si>
    <t>CON RETENCIÓN TÍTULOS</t>
  </si>
  <si>
    <t>STIVEN ARTURO GÓMEZ BARRERA</t>
  </si>
  <si>
    <t>CRISTIAN YOVANNI GARCIA ORBES                                                                                                     C.C. No. 1126448496</t>
  </si>
  <si>
    <t>0300000076</t>
  </si>
  <si>
    <r>
      <rPr>
        <b/>
        <sz val="11"/>
        <rFont val="Arial"/>
        <family val="2"/>
      </rPr>
      <t>EMBARGO Y SECUESTRO</t>
    </r>
    <r>
      <rPr>
        <sz val="11"/>
        <rFont val="Arial"/>
        <family val="2"/>
      </rPr>
      <t xml:space="preserve"> motocicleta - placas UTW99F - modelo 2022 - propiedad  Stiven G. </t>
    </r>
  </si>
  <si>
    <t xml:space="preserve">13-8-2025 Stiven G. </t>
  </si>
  <si>
    <t xml:space="preserve">En trámie procesal </t>
  </si>
  <si>
    <t xml:space="preserve">16/03/2026: consulta de bienes suceptibles de embargo. Resutaldo negativo                                                                       25/03/2026: se hizo recordatorio al juzgado se tenga en cuenta la solicitud de autorización de direccion a notificar y el requerimiento a tránsito. </t>
  </si>
  <si>
    <t xml:space="preserve">YANETH BONILLA LOPEZ              </t>
  </si>
  <si>
    <t>EVERARDO NATIVEL LUCERO ROSERO                                                                                     C.C. No. 18154751</t>
  </si>
  <si>
    <t>0300000224</t>
  </si>
  <si>
    <t>2025-305</t>
  </si>
  <si>
    <r>
      <rPr>
        <b/>
        <sz val="11"/>
        <color rgb="FF000000"/>
        <rFont val="Arial"/>
      </rPr>
      <t>EMBARGO Y SECUESTRO</t>
    </r>
    <r>
      <rPr>
        <sz val="11"/>
        <color rgb="FF000000"/>
        <rFont val="Arial"/>
      </rPr>
      <t xml:space="preserve"> motocicleta - placas ONC60G- modelo 2023 - propiedad  Yaneth Bonilla López </t>
    </r>
    <r>
      <rPr>
        <b/>
        <sz val="11"/>
        <color rgb="FF000000"/>
        <rFont val="Arial"/>
      </rPr>
      <t>EMBARGO Y SECUESTRO</t>
    </r>
    <r>
      <rPr>
        <sz val="11"/>
        <color rgb="FF000000"/>
        <rFont val="Arial"/>
      </rPr>
      <t xml:space="preserve"> de la cuota parte - M.I. 442-20898 Y 442-27174 -  ORIP Puerto Asís </t>
    </r>
  </si>
  <si>
    <t>ANGEL GEOVANNI TRUJILLO VARGAS</t>
  </si>
  <si>
    <t>LETICIA ACEVEDO GARCIA                                                                                 C.C. No.1090383908</t>
  </si>
  <si>
    <t>0300000167</t>
  </si>
  <si>
    <t>2025-303</t>
  </si>
  <si>
    <r>
      <rPr>
        <b/>
        <sz val="11"/>
        <color rgb="FF000000"/>
        <rFont val="Arial"/>
      </rPr>
      <t>EMBARGO Y SECUESTRO</t>
    </r>
    <r>
      <rPr>
        <sz val="11"/>
        <color rgb="FF000000"/>
        <rFont val="Arial"/>
      </rPr>
      <t xml:space="preserve"> motocicleta - placas IPV24G- modelo 2023 - propiedad  Angel Trujillo </t>
    </r>
    <r>
      <rPr>
        <b/>
        <sz val="11"/>
        <color rgb="FF000000"/>
        <rFont val="Arial"/>
      </rPr>
      <t>EMBARGO Y SECUESTRO</t>
    </r>
    <r>
      <rPr>
        <sz val="11"/>
        <color rgb="FF000000"/>
        <rFont val="Arial"/>
      </rPr>
      <t xml:space="preserve"> establecimiento comercial  "ANKANY"  - Matrícula mercantil  23762- Propiedad de Angel Trujillo.</t>
    </r>
  </si>
  <si>
    <t>JOSE MARTÍN BENAVIDES MARTÍNEZ</t>
  </si>
  <si>
    <t>BEIBA ORDOÑEZ IMBACHI                                                                                C.C. No.34.575.996</t>
  </si>
  <si>
    <t>0300000223</t>
  </si>
  <si>
    <t>2025-306</t>
  </si>
  <si>
    <r>
      <rPr>
        <b/>
        <sz val="11"/>
        <color rgb="FF000000"/>
        <rFont val="Arial"/>
      </rPr>
      <t>EMBARGO Y SECUESTRO</t>
    </r>
    <r>
      <rPr>
        <sz val="11"/>
        <color rgb="FF000000"/>
        <rFont val="Arial"/>
      </rPr>
      <t xml:space="preserve"> motocicleta - placas ONE38G- modelo 2023 - propiedad  José Martín. </t>
    </r>
  </si>
  <si>
    <t>JESÚS ORLANDO CUARAN CUARAN</t>
  </si>
  <si>
    <t>SANDRA MILENA CHINDOY                                                                      C.C. No. 1122782145</t>
  </si>
  <si>
    <t>0300000204</t>
  </si>
  <si>
    <t>2025-304</t>
  </si>
  <si>
    <r>
      <rPr>
        <b/>
        <sz val="11"/>
        <color rgb="FF000000"/>
        <rFont val="Arial"/>
      </rPr>
      <t>EMBARGO Y SECUESTRO</t>
    </r>
    <r>
      <rPr>
        <sz val="11"/>
        <color rgb="FF000000"/>
        <rFont val="Arial"/>
      </rPr>
      <t xml:space="preserve"> motocicleta - placas IPW41G- modelo 2023 - propiedad  Orlando Cuaran </t>
    </r>
  </si>
  <si>
    <t xml:space="preserve">02/03/2026: Se libra mandamiento de pago a favor de FOGADE.                                           02/03/2026: Auto decretando el embargo de las medidas solicitadas                                                                           5/03/2026: Se solicitó link del expediente digital.                                        </t>
  </si>
  <si>
    <t>JAVIER INDOVER GUERRON CALDERON</t>
  </si>
  <si>
    <t>FRANCY EDITH ORTIZ FIGUEROA                                                               C.C. No. 1006995341</t>
  </si>
  <si>
    <t>0300000227</t>
  </si>
  <si>
    <t>2025-307</t>
  </si>
  <si>
    <r>
      <rPr>
        <b/>
        <sz val="11"/>
        <color rgb="FF000000"/>
        <rFont val="Century Gothic"/>
        <family val="2"/>
      </rPr>
      <t>EMBARGO Y SECUESTRO</t>
    </r>
    <r>
      <rPr>
        <sz val="11"/>
        <color rgb="FF000000"/>
        <rFont val="Century Gothic"/>
        <family val="2"/>
      </rPr>
      <t xml:space="preserve"> motocicleta - placas AJE73G- modelo 2022 - propiedad Javier Indover Guerron</t>
    </r>
  </si>
  <si>
    <t>MARÍA ROCIO YELA TORRES</t>
  </si>
  <si>
    <t>CAMPO ELIAS TORO SANTANDER                                                            C.C. No. 87454299</t>
  </si>
  <si>
    <t>0300000166</t>
  </si>
  <si>
    <t>2025-308</t>
  </si>
  <si>
    <r>
      <rPr>
        <b/>
        <sz val="11"/>
        <rFont val="Arial"/>
        <family val="2"/>
      </rPr>
      <t>EMBARGO Y SECUESTRO</t>
    </r>
    <r>
      <rPr>
        <sz val="11"/>
        <rFont val="Arial"/>
        <family val="2"/>
      </rPr>
      <t xml:space="preserve"> motocicleta - placas COE30G- modelo 2023 - propiedad  María Rocio Yela.                       </t>
    </r>
  </si>
  <si>
    <t>MÓNICA LEONERY QUINTERO FIGUEROA</t>
  </si>
  <si>
    <t>JACKSON ANDRES ROJAS                                                            C.C. No. 1126448450                      CRISTIAN YOVANNI GARCIA ORBES           C.C. No. 1126448496</t>
  </si>
  <si>
    <t>0300000229</t>
  </si>
  <si>
    <t>LEIDY JOHANA ÁLVAREZ BUCHELI</t>
  </si>
  <si>
    <t>KEVIN EFREY ROSER CORAL C.C. No. 87069597</t>
  </si>
  <si>
    <t>$8,823,427</t>
  </si>
  <si>
    <t>2026-00035</t>
  </si>
  <si>
    <r>
      <rPr>
        <b/>
        <sz val="11"/>
        <color rgb="FF000000"/>
        <rFont val="Arial"/>
      </rPr>
      <t>EMBARGO Y SECUESTRO</t>
    </r>
    <r>
      <rPr>
        <sz val="11"/>
        <color rgb="FF000000"/>
        <rFont val="Arial"/>
      </rPr>
      <t xml:space="preserve"> motocicleta - placas KLY09G- modelo 2023 - propiedad  Leidy Johana Alvarez </t>
    </r>
    <r>
      <rPr>
        <b/>
        <sz val="11"/>
        <color rgb="FF000000"/>
        <rFont val="Arial"/>
      </rPr>
      <t>EMBARGO Y RETENCIÓN</t>
    </r>
    <r>
      <rPr>
        <sz val="11"/>
        <color rgb="FF000000"/>
        <rFont val="Arial"/>
      </rPr>
      <t xml:space="preserve">: 5 parte que exceda el smlv o 50% de Honorarios - Kevin Efrey empleado de Hospital jorge julio guzman                      </t>
    </r>
  </si>
  <si>
    <t xml:space="preserve">13/02/2026: Se libra mandamiento de pago a favor de Fogade.                                                   13/02/2026: AUTO/OFICIO Decretanto las medidas solicitadas.                                                  20/02/2026: Oficio No. 0202 dirijido al Tesorero/pagador de ESE HOSPITAL JORGE JULIO GUZMAN.                                                  20/02/2026: Oficio No. 0201 dirjido a Transito t ransporte departamental para el registro de la medida.                               23/02/2026: Respuesta de Transito y Transporte manifestando que la  Medida de la motocicleta ya esta registrada.                                                                            </t>
  </si>
  <si>
    <t xml:space="preserve">IRULFO HERNANDEZ DONATO                           </t>
  </si>
  <si>
    <t>SERVIO TULIO HERNANDEZ  C.C. No.3051507</t>
  </si>
  <si>
    <t>$12,480,000</t>
  </si>
  <si>
    <t>2026-00043</t>
  </si>
  <si>
    <r>
      <rPr>
        <b/>
        <sz val="11"/>
        <color rgb="FF000000"/>
        <rFont val="Arial"/>
      </rPr>
      <t>EMBARGO Y SECUESTRO</t>
    </r>
    <r>
      <rPr>
        <sz val="11"/>
        <color rgb="FF000000"/>
        <rFont val="Arial"/>
      </rPr>
      <t>* Inmueble de propiedad de Irulfo con matricula inmobiliaria No. 442-53951* Inmueble de propiedad de Servio Tulio con matricula No. 442-50500</t>
    </r>
  </si>
  <si>
    <t>* Con registro de bien inmueble M.I No. 442-50500                                                                                                                 *Con registro de remanente 2024-00071</t>
  </si>
  <si>
    <t>JORGE ANDRES YAR ROSERO</t>
  </si>
  <si>
    <t>LIGIA NEFER ZAMBRANO JURADO</t>
  </si>
  <si>
    <t>2026-00036</t>
  </si>
  <si>
    <r>
      <rPr>
        <b/>
        <sz val="11"/>
        <color rgb="FF000000"/>
        <rFont val="Arial"/>
      </rPr>
      <t>EMBARGO Y SECUESTRO</t>
    </r>
    <r>
      <rPr>
        <sz val="11"/>
        <color rgb="FF000000"/>
        <rFont val="Arial"/>
      </rPr>
      <t xml:space="preserve">  quinta parte que exceda del SMLV en la secretaria de educacion departamental - LIGIA NEFER  </t>
    </r>
    <r>
      <rPr>
        <b/>
        <sz val="11"/>
        <color rgb="FF000000"/>
        <rFont val="Arial"/>
      </rPr>
      <t>* Inmueble de propiedad</t>
    </r>
    <r>
      <rPr>
        <sz val="11"/>
        <color rgb="FF000000"/>
        <rFont val="Arial"/>
      </rPr>
      <t xml:space="preserve"> de LIGIA NEFER con matricula No. 442-45674</t>
    </r>
  </si>
  <si>
    <t>En inscripción de medida</t>
  </si>
  <si>
    <t>JHON  EIDER GUERRERO CASTRO</t>
  </si>
  <si>
    <t>MARCOS FIDEL GUERRERO ARENAS                                                        C.C. No. 18146670</t>
  </si>
  <si>
    <t>2026-00033</t>
  </si>
  <si>
    <r>
      <rPr>
        <b/>
        <sz val="11"/>
        <color rgb="FF000000"/>
        <rFont val="Arial"/>
        <family val="2"/>
      </rPr>
      <t>EMBARGO Y SECUESTRO</t>
    </r>
    <r>
      <rPr>
        <sz val="11"/>
        <color rgb="FF000000"/>
        <rFont val="Arial"/>
        <family val="2"/>
      </rPr>
      <t>: motocicleta de placas; AJB99G de propiedad de JHON EDIER.</t>
    </r>
  </si>
  <si>
    <t xml:space="preserve">12/03/2026: Auto interlocutorio - librando mandamiento de pago a favor de FOGADE.                                                                                        12/3/2026: Auto interlocutorio decretando la medida solicitada.                                                                      16/03/2026: Se solicitón link del expediente.                                                     </t>
  </si>
  <si>
    <t>LINA LISBETH MARTINEZ GUERRERO</t>
  </si>
  <si>
    <t>CRISTIAN ALEJANDRO QUINTERO PORTILLO C.C. No. 1122339943</t>
  </si>
  <si>
    <t>2026-00034</t>
  </si>
  <si>
    <r>
      <rPr>
        <b/>
        <sz val="11"/>
        <color rgb="FF000000"/>
        <rFont val="Arial"/>
        <family val="2"/>
      </rPr>
      <t>EMBARGO Y SECUESTRO</t>
    </r>
    <r>
      <rPr>
        <sz val="11"/>
        <color rgb="FF000000"/>
        <rFont val="Arial"/>
        <family val="2"/>
      </rPr>
      <t xml:space="preserve"> motocicleta de placas: LSV30G de propiedad LINA LISBETH</t>
    </r>
  </si>
  <si>
    <t>EMBARGO Y SECUESTRO motocicleta - placas AJE73G- modelo 2022 - propiedad Javier Indover Guerron</t>
  </si>
  <si>
    <t xml:space="preserve">12/03/2026: Auto interlocutorio - librando mandamiento de pagoa favor de FOGADE.                                                                                        12/3/2026: Auto interlocutorio decretando la medida solicitada.                                                                      16/03/2026: Se solicitó link del expediente.                                                     </t>
  </si>
  <si>
    <t>CARLOS FERNANDO PUPIALES CANCIMANSE</t>
  </si>
  <si>
    <t>PAULA ANDREA RIVERA CANSIMANSE C.C. No. 59123125</t>
  </si>
  <si>
    <r>
      <rPr>
        <b/>
        <sz val="11"/>
        <color rgb="FF000000"/>
        <rFont val="Arial"/>
        <family val="2"/>
      </rPr>
      <t xml:space="preserve">EMBARGO Y SECUESTRO </t>
    </r>
    <r>
      <rPr>
        <sz val="11"/>
        <color rgb="FF000000"/>
        <rFont val="Arial"/>
        <family val="2"/>
      </rPr>
      <t>Bien inmubele M.I No. 240-150942 de propiedad CARLOS FERNANDO PUPIALES</t>
    </r>
  </si>
  <si>
    <t>JOHANNA KATHERINE ACUÑA ACEVEDO</t>
  </si>
  <si>
    <t>2026-00032</t>
  </si>
  <si>
    <r>
      <rPr>
        <b/>
        <sz val="11"/>
        <color rgb="FF000000"/>
        <rFont val="Arial"/>
        <family val="2"/>
      </rPr>
      <t>EMBARGO Y SECUESTRO</t>
    </r>
    <r>
      <rPr>
        <sz val="11"/>
        <color rgb="FF000000"/>
        <rFont val="Arial"/>
        <family val="2"/>
      </rPr>
      <t>: motocicleta de placas; LSW63G de propiedad de JOHANNA ACUÑA.</t>
    </r>
  </si>
  <si>
    <t xml:space="preserve">12/03/2026: Juzgado emite Auto interlocutorio N° 096 decretando la medida cautelar solicitada.                                                    </t>
  </si>
  <si>
    <t>BLANCA AIDE SEGURA AREVALO</t>
  </si>
  <si>
    <r>
      <rPr>
        <b/>
        <sz val="11"/>
        <color rgb="FF000000"/>
        <rFont val="Arial"/>
        <family val="2"/>
      </rPr>
      <t>EMBARGO Y SECUESTRO</t>
    </r>
    <r>
      <rPr>
        <sz val="11"/>
        <color rgb="FF000000"/>
        <rFont val="Arial"/>
        <family val="2"/>
      </rPr>
      <t>:motocicleta de placas KVQ97G de propiedad BLANCA SEGURA</t>
    </r>
  </si>
  <si>
    <t xml:space="preserve">WILSON CRUZ URAZAN </t>
  </si>
  <si>
    <t>DANNY DANIEL ERAZO FIGUEROA C.C.No. 1,123,301,417</t>
  </si>
  <si>
    <t>PUERTO ASIS</t>
  </si>
  <si>
    <r>
      <rPr>
        <b/>
        <sz val="11"/>
        <color rgb="FF000000"/>
        <rFont val="Arial"/>
        <family val="2"/>
      </rPr>
      <t>EMBARGO Y SECUESTRO</t>
    </r>
    <r>
      <rPr>
        <sz val="11"/>
        <color rgb="FF000000"/>
        <rFont val="Arial"/>
        <family val="2"/>
      </rPr>
      <t>:  Bien inmueble M.I No. 442-78763 de propiedad Wilson Cruz</t>
    </r>
  </si>
  <si>
    <t>LUIS ALEJANDRO PAPAMIJA</t>
  </si>
  <si>
    <t>DORIAN ALFREDO JOVEL ROJAS C.C No. 7703647</t>
  </si>
  <si>
    <r>
      <rPr>
        <b/>
        <sz val="11"/>
        <color rgb="FF000000"/>
        <rFont val="Arial"/>
        <family val="2"/>
      </rPr>
      <t>EMBARGO Y SECUESTRO</t>
    </r>
    <r>
      <rPr>
        <sz val="11"/>
        <color rgb="FF000000"/>
        <rFont val="Arial"/>
        <family val="2"/>
      </rPr>
      <t>: Bien inmueble M.I No. 442-69033 de propiedad DORIAN ALFREDO</t>
    </r>
  </si>
  <si>
    <t>JOSE ROBERTO ROJAS CLAROS</t>
  </si>
  <si>
    <t>RAMON ELIAS LOPEZ RAMOS C.C. No. 18103658</t>
  </si>
  <si>
    <r>
      <rPr>
        <b/>
        <sz val="11"/>
        <color rgb="FF000000"/>
        <rFont val="Arial"/>
        <family val="2"/>
      </rPr>
      <t>EMBARGO  Y SECUESTRO</t>
    </r>
    <r>
      <rPr>
        <sz val="11"/>
        <color rgb="FF000000"/>
        <rFont val="Arial"/>
        <family val="2"/>
      </rPr>
      <t xml:space="preserve"> Motocicleta de placas : PBF48G de propiedad JOSE ROBERTO</t>
    </r>
  </si>
  <si>
    <t>En admisión demanda</t>
  </si>
  <si>
    <t xml:space="preserve">ISABEL CRISTINA VELEZ OBANDO </t>
  </si>
  <si>
    <t>PEDRO PABLO VELEZ ISAZA C.C. No. 18110200</t>
  </si>
  <si>
    <r>
      <rPr>
        <b/>
        <sz val="11"/>
        <color rgb="FF000000"/>
        <rFont val="Arial"/>
      </rPr>
      <t>EMBARGO Y RETENCIÓN</t>
    </r>
    <r>
      <rPr>
        <sz val="11"/>
        <color rgb="FF000000"/>
        <rFont val="Arial"/>
      </rPr>
      <t xml:space="preserve"> : remanente 2023-00187 que cursa en el Juzg. 1 civil pto asis - ISABEL CRISTINA VELEZ </t>
    </r>
    <r>
      <rPr>
        <b/>
        <sz val="11"/>
        <color rgb="FF000000"/>
        <rFont val="Arial"/>
      </rPr>
      <t>EMBARGO Y SECUESTRO</t>
    </r>
    <r>
      <rPr>
        <sz val="11"/>
        <color rgb="FF000000"/>
        <rFont val="Arial"/>
      </rPr>
      <t xml:space="preserve">: + razon social y establecimiento comercial de propiedad PEDRO PABLO VELEZ Matrocula mercantil No. 3929 denominado CACHARRRERIA EL FERRETERO ubicado en puerto asis                                          </t>
    </r>
  </si>
  <si>
    <t>MARINO OBANDO OBANDO</t>
  </si>
  <si>
    <t>CARMEN AMELIA ROJAS GUEVARA C.C. No. 41100275</t>
  </si>
  <si>
    <t>2026-50</t>
  </si>
  <si>
    <r>
      <rPr>
        <b/>
        <sz val="11"/>
        <color rgb="FF000000"/>
        <rFont val="Arial"/>
      </rPr>
      <t>EMBARGO Y SECUESTRO</t>
    </r>
    <r>
      <rPr>
        <sz val="11"/>
        <color rgb="FF000000"/>
        <rFont val="Arial"/>
      </rPr>
      <t>:* Bien inmueble M.I No. 442-7498 * Bien inmueble M.I. No. 240-183587 * Bien inmueble M.I No. 240-42750 de propiedad de la Sra. Carmen Amelia Rojas</t>
    </r>
  </si>
  <si>
    <t>DIDIER ANDERSON YELA ERAZO</t>
  </si>
  <si>
    <t>HENRY BRAVO ORDOÑEZ C.C. No. 18154401</t>
  </si>
  <si>
    <t>2026-51</t>
  </si>
  <si>
    <r>
      <rPr>
        <b/>
        <sz val="11"/>
        <color rgb="FF000000"/>
        <rFont val="Arial"/>
        <family val="2"/>
      </rPr>
      <t>EMBARGO Y RETENCIO</t>
    </r>
    <r>
      <rPr>
        <sz val="11"/>
        <color rgb="FF000000"/>
        <rFont val="Arial"/>
        <family val="2"/>
      </rPr>
      <t>N : CUENTAS BANCARIAS ; BANCO AGRARIO, POPULAR ,BANCOLOMBIA, BBVA, CAJA SOCIAL, ITAÚ, WS.A  NU, PICHINCHA</t>
    </r>
  </si>
  <si>
    <t>HECTOR YOLIAN CEBALLOS BASANTE</t>
  </si>
  <si>
    <t>* WILDER EMANUEL CEBALLOS BASANTE C.C.No. 1006955846                                * MAURA LIGIA CHAMORRO CAMACHO C.C. No. 39688370</t>
  </si>
  <si>
    <t xml:space="preserve">PUERTO GUZMAN </t>
  </si>
  <si>
    <t>2026-46</t>
  </si>
  <si>
    <r>
      <rPr>
        <b/>
        <sz val="11"/>
        <color rgb="FF000000"/>
        <rFont val="Arial"/>
        <family val="2"/>
      </rPr>
      <t>EMBARGO Y SECUESTRO</t>
    </r>
    <r>
      <rPr>
        <sz val="11"/>
        <color rgb="FF000000"/>
        <rFont val="Arial"/>
        <family val="2"/>
      </rPr>
      <t>: Motocicleta de placas; OMH85F de propiedad de Hector Yolian Ceballos</t>
    </r>
  </si>
  <si>
    <t xml:space="preserve">ANDREA KATHERINE OBANDO CIFUENTES </t>
  </si>
  <si>
    <t>ELMER YESIT HOYOS BURGOS C.C. No. 1123205384</t>
  </si>
  <si>
    <r>
      <rPr>
        <b/>
        <sz val="11"/>
        <color rgb="FF000000"/>
        <rFont val="Arial"/>
      </rPr>
      <t>EMBARGO Y SECUESTRO:</t>
    </r>
    <r>
      <rPr>
        <sz val="11"/>
        <color rgb="FF000000"/>
        <rFont val="Arial"/>
      </rPr>
      <t xml:space="preserve"> Motocicleta de placas; HYW55G de propiedad de ANDREA KATHERINE </t>
    </r>
    <r>
      <rPr>
        <b/>
        <sz val="11"/>
        <color rgb="FF000000"/>
        <rFont val="Arial"/>
      </rPr>
      <t>EMBARGO Y RETENCIÓN:</t>
    </r>
    <r>
      <rPr>
        <sz val="11"/>
        <color rgb="FF000000"/>
        <rFont val="Arial"/>
      </rPr>
      <t xml:space="preserve"> 5ta parte que exceda del S.M.L.V.  Si su calidad es de empleada o el 100% en razon de contratos. - Del Sr. ELMER YESIT Con SELVA VIAJES Y TURISMO S.A.S</t>
    </r>
  </si>
  <si>
    <t xml:space="preserve">DAWER VALDES CHAMORRO </t>
  </si>
  <si>
    <t>CELMIRA CHAMORRO MUÑOZ C.C. No. 48648903</t>
  </si>
  <si>
    <r>
      <rPr>
        <b/>
        <sz val="11"/>
        <color rgb="FF000000"/>
        <rFont val="Arial"/>
      </rPr>
      <t>EMBARGO Y SECUESTRO</t>
    </r>
    <r>
      <rPr>
        <sz val="11"/>
        <color rgb="FF000000"/>
        <rFont val="Arial"/>
      </rPr>
      <t xml:space="preserve"> Motocicleta de placa: AJC79G de propiedad del Sr. DAWER VALDES.</t>
    </r>
    <r>
      <rPr>
        <b/>
        <sz val="11"/>
        <color rgb="FF000000"/>
        <rFont val="Arial"/>
      </rPr>
      <t>EMBARGO Y SECUESTRO</t>
    </r>
    <r>
      <rPr>
        <sz val="11"/>
        <color rgb="FF000000"/>
        <rFont val="Arial"/>
      </rPr>
      <t xml:space="preserve"> de la CUOTA PARTE del bien inmueble con M.I No. 128-15854 de propiedad de la Sra. CELMIRA CHAMORRO</t>
    </r>
  </si>
  <si>
    <t>13/03/2026: Se solicitó link del expediente digital                                       8/04/2026: Oficio No. 0201 dirijido a Oficina de registro de instrumentos públicos de Patía el Bordo Cauca para la inscripcion de la medida cautelar solicitada.                                                                                                               8/04/2026: Respuesta de Instrumentos públicos de Patía el Bordo Cauca, manifestando que primero se debe cancelar los derechos de inscripción por concepto de embargo.</t>
  </si>
  <si>
    <t>ELVIA CLAUDIA ANDRADE</t>
  </si>
  <si>
    <t>OLGA PATRICIA LARA VALDERRAMA C.C. No. 1077847616</t>
  </si>
  <si>
    <t>2026-18</t>
  </si>
  <si>
    <r>
      <rPr>
        <b/>
        <sz val="11"/>
        <color rgb="FF000000"/>
        <rFont val="Arial"/>
      </rPr>
      <t>EMBARGO Y SECUESTRO</t>
    </r>
    <r>
      <rPr>
        <sz val="11"/>
        <color rgb="FF000000"/>
        <rFont val="Arial"/>
      </rPr>
      <t xml:space="preserve"> Motocicleta de placas SFB86F de propiedad - Sra. ELVIA CLAUDIA. </t>
    </r>
    <r>
      <rPr>
        <b/>
        <sz val="11"/>
        <color rgb="FF000000"/>
        <rFont val="Arial"/>
      </rPr>
      <t>EMBARGO Y SECUESTRO</t>
    </r>
    <r>
      <rPr>
        <sz val="11"/>
        <color rgb="FF000000"/>
        <rFont val="Arial"/>
      </rPr>
      <t xml:space="preserve"> De la cuota parte de los bienes inmuebles que le corresponden a la Sra. Elvia claudia. :- Bien inmueble M.I No. 442-61300 -Bien imueble M.I. No. 442-62754 </t>
    </r>
  </si>
  <si>
    <t>BRAYAN ISRAEL DIAZ ARBOLEDA</t>
  </si>
  <si>
    <t>EVER JOAQUIN CALDERON QUIROS C.C. No. 10013326</t>
  </si>
  <si>
    <t>2026-31</t>
  </si>
  <si>
    <r>
      <rPr>
        <b/>
        <sz val="11"/>
        <color rgb="FF000000"/>
        <rFont val="Arial"/>
      </rPr>
      <t>EMBARGO Y SECUESTRO</t>
    </r>
    <r>
      <rPr>
        <sz val="11"/>
        <color rgb="FF000000"/>
        <rFont val="Arial"/>
      </rPr>
      <t xml:space="preserve"> motocicleta de placa: ONF84G de propiedad - Sr. Brayan Israel. </t>
    </r>
    <r>
      <rPr>
        <b/>
        <sz val="11"/>
        <color rgb="FF000000"/>
        <rFont val="Arial"/>
      </rPr>
      <t>EMBARGO Y SECUESTRO</t>
    </r>
    <r>
      <rPr>
        <sz val="11"/>
        <color rgb="FF000000"/>
        <rFont val="Arial"/>
      </rPr>
      <t xml:space="preserve"> Bien inmueble M.I. No. 442-11383 de propiedad.- Ever Joaquin</t>
    </r>
  </si>
  <si>
    <t>GEOVANA JACKELINE BELALCALZAR CEBALLOS</t>
  </si>
  <si>
    <t>WILSON RAMIRO BELALCAZAR LOPEZ C.C. No. 87451624</t>
  </si>
  <si>
    <r>
      <rPr>
        <b/>
        <sz val="11"/>
        <color rgb="FF000000"/>
        <rFont val="Arial"/>
      </rPr>
      <t xml:space="preserve">EMBARGO Y SECUESTRO </t>
    </r>
    <r>
      <rPr>
        <sz val="11"/>
        <color rgb="FF000000"/>
        <rFont val="Arial"/>
      </rPr>
      <t>Motocicleta de placa: SOE09F de propiedad.- Sra. GEOVANA.</t>
    </r>
    <r>
      <rPr>
        <b/>
        <sz val="11"/>
        <color rgb="FF000000"/>
        <rFont val="Arial"/>
      </rPr>
      <t>EMBARGO Y RETENCIÓN</t>
    </r>
    <r>
      <rPr>
        <sz val="11"/>
        <color rgb="FF000000"/>
        <rFont val="Arial"/>
      </rPr>
      <t>de la 5ta parte - salario. Del Sr. Wilson Ramiro</t>
    </r>
  </si>
  <si>
    <t>JUAN CAMILO BARRIONUEVO BAUTISTA</t>
  </si>
  <si>
    <t>DEICY MARLUBY MENESES BASTIDAS C.C. No. 1123326593</t>
  </si>
  <si>
    <r>
      <rPr>
        <b/>
        <sz val="11"/>
        <color rgb="FF000000"/>
        <rFont val="Arial"/>
        <family val="2"/>
      </rPr>
      <t>EMBARGO Y SECUESTRO</t>
    </r>
    <r>
      <rPr>
        <sz val="11"/>
        <color rgb="FF000000"/>
        <rFont val="Arial"/>
        <family val="2"/>
      </rPr>
      <t xml:space="preserve"> Bien inmueble M.I.No. 240-241460 de propiedad.- Deicy Marluby</t>
    </r>
  </si>
  <si>
    <t>en inscripción medida</t>
  </si>
  <si>
    <r>
      <rPr>
        <sz val="11"/>
        <color rgb="FF000000"/>
        <rFont val="Arial"/>
      </rPr>
      <t xml:space="preserve">26/03/2026: Se libra mandamiento de pago a favor de FOGADE                                                                                                              26/03/2026: Auto decretando las medidas cautelares solicitadas, con oficina de instrumentos públicos </t>
    </r>
    <r>
      <rPr>
        <sz val="11"/>
        <color rgb="FFFF0000"/>
        <rFont val="Arial"/>
      </rPr>
      <t>erroneo</t>
    </r>
    <r>
      <rPr>
        <sz val="11"/>
        <color rgb="FF000000"/>
        <rFont val="Arial"/>
      </rPr>
      <t xml:space="preserve">.                                                                                                    24/04/2026: Oficio </t>
    </r>
    <r>
      <rPr>
        <sz val="11"/>
        <color rgb="FFFF0000"/>
        <rFont val="Arial"/>
      </rPr>
      <t>errado</t>
    </r>
    <r>
      <rPr>
        <sz val="11"/>
        <color rgb="FF000000"/>
        <rFont val="Arial"/>
      </rPr>
      <t xml:space="preserve"> -dirijido a oficinas de Instrumentos publicos de Puerto Asís, para la inscripción de la medida                                                                                                                                        </t>
    </r>
  </si>
  <si>
    <t>JOSE HERNANDO MUESES INAGAN</t>
  </si>
  <si>
    <r>
      <rPr>
        <b/>
        <sz val="11"/>
        <color rgb="FF000000"/>
        <rFont val="Arial"/>
        <family val="2"/>
      </rPr>
      <t>EMBARGO Y SECUESTRO</t>
    </r>
    <r>
      <rPr>
        <sz val="11"/>
        <color rgb="FF000000"/>
        <rFont val="Arial"/>
        <family val="2"/>
      </rPr>
      <t xml:space="preserve"> motocicleta de placa: MQI90G. </t>
    </r>
    <r>
      <rPr>
        <b/>
        <sz val="11"/>
        <color rgb="FF000000"/>
        <rFont val="Arial"/>
        <family val="2"/>
      </rPr>
      <t>EMBARGO Y SECUESTRO</t>
    </r>
    <r>
      <rPr>
        <sz val="11"/>
        <color rgb="FF000000"/>
        <rFont val="Arial"/>
        <family val="2"/>
      </rPr>
      <t xml:space="preserve"> Bien inmueble M.I. No. 442-3103 - Puerto Asís </t>
    </r>
  </si>
  <si>
    <t>MEDIO</t>
  </si>
  <si>
    <t>ALBERT DONALDO CUASIALPUD ROJAS</t>
  </si>
  <si>
    <t>MARINO OBANDO OBANDO C.C. No. 18157853</t>
  </si>
  <si>
    <r>
      <rPr>
        <b/>
        <sz val="11"/>
        <color rgb="FF000000"/>
        <rFont val="Arial"/>
      </rPr>
      <t>EMBARGO Y SECUESTRO</t>
    </r>
    <r>
      <rPr>
        <sz val="11"/>
        <color rgb="FF000000"/>
        <rFont val="Arial"/>
      </rPr>
      <t xml:space="preserve"> Motocicleta de placa: MQJ36G de propiedad.- Sr. Albert  </t>
    </r>
    <r>
      <rPr>
        <b/>
        <sz val="11"/>
        <color rgb="FF000000"/>
        <rFont val="Arial"/>
      </rPr>
      <t>EMBARGO Y SECUESTRO</t>
    </r>
    <r>
      <rPr>
        <sz val="11"/>
        <color rgb="FF000000"/>
        <rFont val="Arial"/>
      </rPr>
      <t xml:space="preserve"> Razón social y establecimiento comercial registrado con M.M. No. 86907 de propiedad.- Sr. Albert</t>
    </r>
  </si>
  <si>
    <t>JORGE STIVEN SALAZAR GUZMAN</t>
  </si>
  <si>
    <t>CONSUELO GUZMAN BUITRON C.C.No. 41108811</t>
  </si>
  <si>
    <t>MUNICIPAL</t>
  </si>
  <si>
    <r>
      <rPr>
        <b/>
        <sz val="11"/>
        <color rgb="FF000000"/>
        <rFont val="Arial"/>
        <family val="2"/>
      </rPr>
      <t>EMBARGO Y SECUESTRO</t>
    </r>
    <r>
      <rPr>
        <sz val="11"/>
        <color rgb="FF000000"/>
        <rFont val="Arial"/>
        <family val="2"/>
      </rPr>
      <t xml:space="preserve"> Motocicleta de placa: HMQ47G de propiedad.- Jorge Stiven Salazar</t>
    </r>
  </si>
  <si>
    <t>VICENTE JAVIER BISBICUS NASTACUAS</t>
  </si>
  <si>
    <t>MARIA VIRGINIA OLBERA MENDEZ C.C.No. 1123332186</t>
  </si>
  <si>
    <r>
      <rPr>
        <b/>
        <sz val="11"/>
        <color rgb="FF000000"/>
        <rFont val="Arial"/>
      </rPr>
      <t xml:space="preserve">EMBARGO Y SECUESTRO: </t>
    </r>
    <r>
      <rPr>
        <sz val="11"/>
        <color rgb="FF000000"/>
        <rFont val="Arial"/>
      </rPr>
      <t xml:space="preserve">Motocicleta de placa: HMQ63G de propiedad.- Sr. Vicente Javier </t>
    </r>
    <r>
      <rPr>
        <b/>
        <sz val="11"/>
        <color rgb="FF000000"/>
        <rFont val="Arial"/>
      </rPr>
      <t>EMBARGO Y RETENCIÓN</t>
    </r>
    <r>
      <rPr>
        <sz val="11"/>
        <color rgb="FF000000"/>
        <rFont val="Arial"/>
      </rPr>
      <t>De la 5ta parque que exceda el SMMLV que perciba el Sr. Vicente Javier.</t>
    </r>
  </si>
  <si>
    <t>LEIDY VIVIANA DIAS RAMIREZ</t>
  </si>
  <si>
    <t>SAMUEL TREJOS PINEDA C.C. No. 18,130,009</t>
  </si>
  <si>
    <t>2026-00026</t>
  </si>
  <si>
    <r>
      <rPr>
        <b/>
        <sz val="11"/>
        <color rgb="FF000000"/>
        <rFont val="Arial"/>
      </rPr>
      <t>EMBARGO Y SECUESTRO</t>
    </r>
    <r>
      <rPr>
        <sz val="11"/>
        <color rgb="FF000000"/>
        <rFont val="Arial"/>
      </rPr>
      <t xml:space="preserve"> Motocicleta de placa: NGH80G de propiedad.- Leidy VivianA</t>
    </r>
  </si>
  <si>
    <t xml:space="preserve">3/02/2026: Se radica demanda                                                                                                                                     5/02/2026: Auto-libra mandamiento a favor de FOGADE.                                                                  9/02/2026: Se solicitó el link del expediente digital.                                                               5/02/2026: Auto-Decretando la medida solicitada.                                                                                                                                                                                                                 19/02/2026: Oficio dirijido a Tránsito y Transporte departamental para el registro de la medida.                                                                             19/02/2026: Respuesta de  Tránsito y Transporte departamental manifestando que la medida ya esta inscrita.                                                                                                                                                                      </t>
  </si>
  <si>
    <t>YARLY YULIZA LÓPEZ AULLON</t>
  </si>
  <si>
    <t>JONATHAN MAURICIO VASQUEZ VARGAS C.C. No. 1112299933</t>
  </si>
  <si>
    <t>2026-33</t>
  </si>
  <si>
    <r>
      <rPr>
        <b/>
        <sz val="11"/>
        <color rgb="FF000000"/>
        <rFont val="Arial"/>
      </rPr>
      <t>EMBARGO Y SECUESTRO</t>
    </r>
    <r>
      <rPr>
        <sz val="11"/>
        <color rgb="FF000000"/>
        <rFont val="Arial"/>
      </rPr>
      <t xml:space="preserve">: Motocicleta de placa: VPD73G de propiedad.- Sra. YARLY YULIZA    </t>
    </r>
    <r>
      <rPr>
        <b/>
        <sz val="11"/>
        <color rgb="FF000000"/>
        <rFont val="Arial"/>
      </rPr>
      <t>EMBARGO Y SECUESTRO</t>
    </r>
    <r>
      <rPr>
        <sz val="11"/>
        <color rgb="FF000000"/>
        <rFont val="Arial"/>
      </rPr>
      <t>: La razón social y establecimientos comerciales de propiedad del Sr. Jonathan Mauricio;  * Establecimiento comercial M.M.No. 73520 denominado AGROINSUMOS DEL CAMPO PUTUMAYO.* Establecimiento comercial M.M.No. 92559 denomidado AGROINSUMOS DEL CAMPO PUTUMAYO 2</t>
    </r>
  </si>
  <si>
    <t>* CON REGISTRO DE EMBARGO ESTABLECIMIENTO DE COMERCIO M,No. 73520</t>
  </si>
  <si>
    <t>MARIA FERNANDA MONAGA ALZATE</t>
  </si>
  <si>
    <t>WILSON ARNOBI MONAGA ALZATE C.C. No. 97435451</t>
  </si>
  <si>
    <t>2026-23</t>
  </si>
  <si>
    <r>
      <rPr>
        <b/>
        <sz val="11"/>
        <color rgb="FF000000"/>
        <rFont val="Arial"/>
        <family val="2"/>
      </rPr>
      <t>EMBARGO Y SECUESTRO</t>
    </r>
    <r>
      <rPr>
        <sz val="11"/>
        <color rgb="FF000000"/>
        <rFont val="Arial"/>
        <family val="2"/>
      </rPr>
      <t xml:space="preserve">: Motocicleta de placa: BXD64G de propiedad de Maria Fernanda. </t>
    </r>
  </si>
  <si>
    <t>7/04/2026: Respuesta de IMTRAM PUERTO ASÍS manifestando que ya se registró la medida cautelar del vehiculo tipo motocicleta.</t>
  </si>
  <si>
    <t>YUDY CASTRO LOZANO</t>
  </si>
  <si>
    <r>
      <rPr>
        <b/>
        <sz val="11"/>
        <color rgb="FF000000"/>
        <rFont val="Arial"/>
      </rPr>
      <t>EMBARGO Y SECUESTRO:</t>
    </r>
    <r>
      <rPr>
        <sz val="11"/>
        <color rgb="FF000000"/>
        <rFont val="Arial"/>
      </rPr>
      <t xml:space="preserve">vehiculo tipo motocicleta </t>
    </r>
  </si>
  <si>
    <t>EN INSCRIPCIÓN MEDIDA</t>
  </si>
  <si>
    <t>FREDY FERNANDO FAJARDO FIGUEROA</t>
  </si>
  <si>
    <t>HUGO PATIÑO OBANDO C.C. No. 1125185225</t>
  </si>
  <si>
    <r>
      <t xml:space="preserve">EMBARGO Y SECUESTRO:  </t>
    </r>
    <r>
      <rPr>
        <sz val="11"/>
        <color rgb="FF000000"/>
        <rFont val="Arial"/>
        <family val="2"/>
      </rPr>
      <t>VEHICULO TIPO MOTOCICLETA DE PLACAS: XLV37F</t>
    </r>
  </si>
  <si>
    <t xml:space="preserve">  </t>
  </si>
  <si>
    <t xml:space="preserve">9/04/2026: Se radica demanda                                                                                              28/04/2026: Auto librnado de mandamiento de pago a favor de fogade sas.                                                                            30/04/2026: Se solicita link del expediente digital                                                        28/04/2026: Auto decretando las medidas de embrgo solicitadas                                                  </t>
  </si>
  <si>
    <t>CRISTHIAM DAVID CHAMORRO ROMERO</t>
  </si>
  <si>
    <t>LUZ ADRIANA PAVAS QUINTERO C.C. No. 69020427</t>
  </si>
  <si>
    <r>
      <t xml:space="preserve">EMBARGO Y SECUESTRO: </t>
    </r>
    <r>
      <rPr>
        <sz val="11"/>
        <color rgb="FF000000"/>
        <rFont val="Arial"/>
        <family val="2"/>
      </rPr>
      <t>VEHICULO TIPO MOTOCICLETA DE PLACAS: SML44G</t>
    </r>
  </si>
  <si>
    <t>SHIRLEY ANDREA RINCON DELGADO</t>
  </si>
  <si>
    <t>DUBAN RINCON DELGADO C.C. No. 1127078802</t>
  </si>
  <si>
    <t>2026-00098</t>
  </si>
  <si>
    <r>
      <t>EMBARGO Y SECUESTRO:</t>
    </r>
    <r>
      <rPr>
        <sz val="11"/>
        <color rgb="FF000000"/>
        <rFont val="Arial"/>
      </rPr>
      <t>VEHICULO TIPO MOTOCICLETA DE PLACAS BCJ98G</t>
    </r>
  </si>
  <si>
    <t>9/04/2026: se radica demanda                                                           20/04/2026: Se libra mandamiento de psgo a favor de FOGAD SAS                                 22/04/2026: Se solicita link del expediente digital                                          20/04/2026: Auto donde se decreta el embargo de las medias solicitadas                        30/04/2026: Oficio No.0553 dirijo a departamento y transporte del putumayo para su debido registro                              11/05/2026. Se verifica el registro de embargo de la motocileta en la pagina del RUNT y ya está el oficio y el embargo, se procede a notificar.</t>
  </si>
  <si>
    <t>LUZ AIDA CARBAJAL ACOSTA</t>
  </si>
  <si>
    <t>AIDA JOSEFA ACOSTA BENITEZ C.C. No. 25988461</t>
  </si>
  <si>
    <r>
      <t xml:space="preserve">EMBARGO Y SECUESTRO: </t>
    </r>
    <r>
      <rPr>
        <sz val="11"/>
        <color rgb="FF000000"/>
        <rFont val="Arial"/>
        <family val="2"/>
      </rPr>
      <t>BIEN INMUEBLE M.I No. 442-63118</t>
    </r>
  </si>
  <si>
    <t xml:space="preserve">9/0/2026: Se radica demanda        </t>
  </si>
  <si>
    <t>DELSUITA NOELVIS CALDERON PASCUMAL</t>
  </si>
  <si>
    <r>
      <t xml:space="preserve">EMBARGO Y SECUESTRO: </t>
    </r>
    <r>
      <rPr>
        <sz val="11"/>
        <color rgb="FF000000"/>
        <rFont val="Arial"/>
        <family val="2"/>
      </rPr>
      <t>MOTOCILETA TIPO VEHICULO DE PLACAS VPD67G</t>
    </r>
  </si>
  <si>
    <t>27/014/2026</t>
  </si>
  <si>
    <t>JHONATHAN ANDRÉS LOZADA RUBIANO</t>
  </si>
  <si>
    <t>CARLOS GARCES ENRIQUEZ C.C.No. 18108661</t>
  </si>
  <si>
    <r>
      <t>EMBARGO Y SECUESTRO:</t>
    </r>
    <r>
      <rPr>
        <sz val="11"/>
        <color rgb="FF000000"/>
        <rFont val="Arial"/>
      </rPr>
      <t>VEHICULO TIPO MOTOCICLETA DE PLACAS: SML44G</t>
    </r>
  </si>
  <si>
    <t>29/04/2026:</t>
  </si>
  <si>
    <t>MILEIDY ROCIO DIAZ MORALES</t>
  </si>
  <si>
    <t>JHON FREDY GARCIA PETEVI C.C. No. 1126446118</t>
  </si>
  <si>
    <r>
      <t>EMBARGO Y SECUESTRO:</t>
    </r>
    <r>
      <rPr>
        <sz val="11"/>
        <color rgb="FF000000"/>
        <rFont val="Arial"/>
      </rPr>
      <t>VEHICULO TIPO MOTOCICLETA DE PLACA HMN68G</t>
    </r>
  </si>
  <si>
    <t>OSCAR FERNANDO GARCIA GOMEZ</t>
  </si>
  <si>
    <t>CARLOS ARMANDO ROJAS RUBIO C.C. No. 88246362</t>
  </si>
  <si>
    <r>
      <t xml:space="preserve">EMBARGO Y SECUESTRO: </t>
    </r>
    <r>
      <rPr>
        <sz val="11"/>
        <color rgb="FF000000"/>
        <rFont val="Arial"/>
        <family val="2"/>
      </rPr>
      <t>VEHICULO TIPO MOTOCICLETA DE PLACA: NGG08G</t>
    </r>
  </si>
  <si>
    <t>YUDY NIYIBETH PALACIOS LUCITANTE</t>
  </si>
  <si>
    <t>HUMBERTO ANTONIO PALACIOS SILVA 15,423,5964</t>
  </si>
  <si>
    <t>H 4032</t>
  </si>
  <si>
    <t>LA HORMIGA</t>
  </si>
  <si>
    <t>PROMISCUO MUNICIPAL</t>
  </si>
  <si>
    <r>
      <rPr>
        <b/>
        <sz val="11"/>
        <color rgb="FF000000"/>
        <rFont val="Arial"/>
      </rPr>
      <t xml:space="preserve">EMBARGO Y SECUESTRO: </t>
    </r>
    <r>
      <rPr>
        <sz val="11"/>
        <color rgb="FF000000"/>
        <rFont val="Arial"/>
      </rPr>
      <t>Bien inmueble de propiedad HUMBERTO PALACIOS C.C. No. 15,423,594</t>
    </r>
  </si>
  <si>
    <t>04/06/2026: Se radica demanda</t>
  </si>
  <si>
    <t>OBLIGACIONES CON MANDAMIENTO DE PAGO  EJECUTIVO</t>
  </si>
  <si>
    <t xml:space="preserve">OBLIGACIONES  PENDIENTES POR TRAMITE DE ADMINISIÓN  JUZGADO </t>
  </si>
  <si>
    <t>OBLIGACIONES TERMINADAS</t>
  </si>
  <si>
    <t xml:space="preserve">OLFA OLIVEROS OLAYA </t>
  </si>
  <si>
    <t>TOTAL</t>
  </si>
  <si>
    <t>Gerente</t>
  </si>
  <si>
    <t>Casa de Cobranzas del Putumayo E.U,.</t>
  </si>
  <si>
    <t>2026-00089</t>
  </si>
  <si>
    <t>P 5315</t>
  </si>
  <si>
    <t>9/04/2026: Se radica demanda                                                                                              27/04/2026: Auto librando de mandamiento de pago a favor de fogade sas.                                                                            29/04/2026: Se solicita link del expediente digital                                                        27/04/2026: Auto decretando las medidas de embrgo solicitadas                                                  28/04/2026: Oficio No. 0278 dirijido a IMTRAM de Puerto Asís  para el registro de la medida.                                                                                          10/05/2026: Se revisó pagina del RUNT y aún no aparece el registro de embargo.              11/06/2026: Se radica Requerimiento a Tránsito para que se haga el respectivo registro de la medida.</t>
  </si>
  <si>
    <t>2026-00090</t>
  </si>
  <si>
    <t>27/04/2026: Se liba mandamiento de pago a favor de FOGADE SAS.                                       29/04/2026: Se solicita link del expediente digital                                                  27/04//2026: Auto decretando las medidas solicitadas                                                         28/04/2026: Oficio dirijido a TMTRAM para el registro del vehiculo tipo motocicleta.                                                   11/05/2026: Se  revisa en la pagina del RUNT y no hay evidencia aún del egistro de embargo.                                                                   11/06/2026: Se radica requerimiento a tránsito para el registro de la medida.</t>
  </si>
  <si>
    <t>16/04/2026: Se libra mandamiento de pago a favor de FOGADE                                                                                                                                  20/04/2026: Se solicita link del expediente digital                                                                                 9/06/2026: Oficio dirjido a Talento Humano de Selva viajes y Turismo para que hagan los respectivos descuentos de la medida cautelar.</t>
  </si>
  <si>
    <t>2026-00080</t>
  </si>
  <si>
    <t xml:space="preserve">4/03/2026: Se radicó demanda                                                               29/04/2026: se libró mandamiento de pago a favor de FOGADE SAS.                                                                   29/04/2026: Se decreta el embargo de la medida solicitada                                                                 </t>
  </si>
  <si>
    <t xml:space="preserve">9/04/2026: Se radica demanda                                                                                                                                                     </t>
  </si>
  <si>
    <t>9/04/2026. Se radica demanda</t>
  </si>
  <si>
    <t>WENDI DAYANA SOACHE PERDOMO</t>
  </si>
  <si>
    <t>LILLY TRUJILLO DE PERDOMO</t>
  </si>
  <si>
    <t>NV 14384</t>
  </si>
  <si>
    <t xml:space="preserve">NEIVA </t>
  </si>
  <si>
    <r>
      <t xml:space="preserve">EMBARGO Y SECUESTRO: </t>
    </r>
    <r>
      <rPr>
        <sz val="11"/>
        <color theme="1"/>
        <rFont val="Calibri"/>
        <family val="2"/>
        <scheme val="minor"/>
      </rPr>
      <t xml:space="preserve">Vehiculo tipo motocicleta de propiedad de WENDI PERDOMO                            </t>
    </r>
    <r>
      <rPr>
        <b/>
        <sz val="11"/>
        <color theme="1"/>
        <rFont val="Calibri"/>
        <family val="2"/>
        <scheme val="minor"/>
      </rPr>
      <t xml:space="preserve">EMBARGO Y RETENCIÓN: </t>
    </r>
    <r>
      <rPr>
        <sz val="11"/>
        <color theme="1"/>
        <rFont val="Calibri"/>
        <family val="2"/>
        <scheme val="minor"/>
      </rPr>
      <t>De la quinta parte que exceda del SMLMV y/o el 100% de los dineros que perciba</t>
    </r>
  </si>
  <si>
    <t>LETICIA ACEVEDO GARCIA                                                                                 C.C. No.1090383908                                                              CRISTIAN DAVID ORDOÑEZ DAZA C.C. No. 1006998240</t>
  </si>
  <si>
    <t xml:space="preserve">27/02/2026: Se radicó demanda                          19/03/2026: Se libra mandamiento de pago a favor de FOGADE.                                                      24/03/2026: Se solicitó link del expediente Digital para su respectivo seguimiento.                                                           20/04/2026: Oficios dirjidos a las entidades bancarias para su respectivo embargo                                            8/05/2026: Respuesta de Bancolombia - Didier yela tiene cuenta y se encuentra bajo limite de inembasrgabilidad.                                                                                                     21/05/2026: Respuesta de Banco Agrario de Colombia - HENRY BRAVO tiene cuenta y se materializó la embargabilidad.                                       </t>
  </si>
  <si>
    <t>PROMISCUO</t>
  </si>
  <si>
    <t>2026-00016</t>
  </si>
  <si>
    <t xml:space="preserve">10/02/2026: Se radicó demanda                          19/03/2026: Se libra mandamiento de pago a favor de FOGADE.                                                      24/03/2026: Se solicitó link del expediente Digital para su respectivo seguimiento.                                                                                  23/04/2026: Oficios dirijdos a secretaria de educación y a Transito Municipal de Orito para su respectivo registro de embargo.                                       24/04/2026: Tránsito comunica a juzgado que el registro de la medida ya esta vigente.                                                                      </t>
  </si>
  <si>
    <t>2026-00046</t>
  </si>
  <si>
    <t>2026-00021</t>
  </si>
  <si>
    <t xml:space="preserve">13/02/2026: se radica demanda                                              19/03/026: Se libra mandamiento de pago a favor de FOGADE.                                                            24/03/2026: Se solicita link del expediente digital para su respectivo seguimiento                                                                      19/03/2026: Auto s- No. 0464 Decretando medida de embargo del vehiculo tipo motocicleta.                                                     30/04/2026: Respuesta de tránsito manifestando que el registro de embargo ya esta vigente.                       </t>
  </si>
  <si>
    <t>2026-00020</t>
  </si>
  <si>
    <t xml:space="preserve">6/04/2026: Se libra mandamiento de pago a favor de FOGADE SAS                                                        6/04/2026: Auto decretando las medidas solicitadas.                            </t>
  </si>
  <si>
    <t>2026-00024</t>
  </si>
  <si>
    <t>2026-00022</t>
  </si>
  <si>
    <t>19/03/2026: Auto decretando el embargo, secuestro y retención de las medidas solcitadas con el nombre incorrecto de la persona a quien tiene que hacerse la retención.                                                                                                              17/04/2026: Se solicitó la corrección del auto                                                                         22/04/2026: Auto de juzgado corrigiendo los errores mencionados                                                                                                      24/04/2026: Oficio No. 0330 dirijida al pagador con el nombre incorrecto de la persona a quien tiene que hacerse la retención.                                                            27/04/2026: Solicitud de corrección del nombre.</t>
  </si>
  <si>
    <t>2026-00030</t>
  </si>
  <si>
    <t>3/03/2026: se radicó demanda                                             4/03/2026: Se libra mandamiento de pago a favor de FOGADE                                                          19/03/2026: Se solicitó Link del expediente digital.                                                            4/03/2026: Auto decretando las medidas solicitadas                                                27/04/2026: Oficio dirijido a Transito municipal para su debido registro.</t>
  </si>
  <si>
    <t>2026-00453</t>
  </si>
  <si>
    <t xml:space="preserve">03/03/2026: Se radicó demanda                                          13/04/2026: Auto No. 187 decretando las medidas solicitadas - Excepto la razón social.                                                                         30/04/2026: Oficio dirijido a cámara de comercio del putumayo para la inscripción de la medida.                                                 25/05/2026: Respuesta de cámara de comercio anexando certificado - con la medida vigente.                                                 </t>
  </si>
  <si>
    <t>24/03/2026: Respuesta de Instrumentos Públicos del municipio de Puerto Asís; manifestando el registro de la medida cautelar del bien inmueble M.I No.442-50500                                                                      26/05/202026: Se radica solicitud de remanente del proceso 2025-00093 propuesto por Banco Agrario de Colombia.                                                                                                                 28/05/2026: Auto decretando el embargo de remanente del proceso 2025-00093.</t>
  </si>
  <si>
    <t>2026-00051</t>
  </si>
  <si>
    <t>25/02/2026: Se radicó demanda                            18/03/2026: Auto interlocutorio librando mandamiento de pago a favor de FOGADE.                                                          24/03/2026: Se solicita link del expediente digital.                                                               18/03/2026: Auto decretando el embargo  y secuestro de las medidas solicitadas.                                          19/03/2026: Oficio dirijido a Transito Municipal INTRAM para el registro de embargo en el certificado de libertad y tradición.                                                                                                28/04/2026: Se revisó Runt y ya esta registrada la medida del vehiculo tipomotocicleta.</t>
  </si>
  <si>
    <t>4/03/2026: Se radica demanda                                                                                 5/05/2026: Auto del Juzgado cuarto civil municipal de Neiva rechazando por competencia la demanda debido al factor cuantia.                                                               11/05/2026: Se solicitó información de reparto                                                                                                           22/05/2026: Se reenvió solicitud de información de reparto                                 12/06/2026: Se insiste en trámite - anexando el auto de rechazo</t>
  </si>
  <si>
    <t>2026-00039</t>
  </si>
  <si>
    <t xml:space="preserve">18/03/2026: Se radica demanda                                          22/05/2026: Se solicitó información de la demanda.                                                                           11/06/2026: Se libra mandamiento de pago a favor de FOGADE SAS                                                                </t>
  </si>
  <si>
    <t>Con mandamiento de pago</t>
  </si>
  <si>
    <t xml:space="preserve">16/03/2026: Se solicitón link del expediente.                                                                                    8/04/2026: Oficio No. 0208 dirjido a Oficina de instrumentos publicos de Pasto Nariño, para la inscripción de la medida cautelar solicitada.                                                  29/04/2026: Se realizó el pago para el registro de la medida                       2/06/2026: Se solicita certificado de libertad y tradición del bien inmueble y la medida ya esta debidamente registrada.                                         </t>
  </si>
  <si>
    <t>12/03/2026: Auto interlocutorio - librando mandamiento de pago a favor de FOGADE.                                                                             13/03/2026: Se solicitón link del expediente.                                                                                                  16/03/2026: solicitud de correción de Auto interlocutorio, especificamente en las fechas de intereses moratorios.                                                                 8/04/2026: Oficio No. 0206 dirijido a Oficina de instrumentos públicos de Puerto Asís putumayo para la inscripción de la medida cautelar solicitada.                                                                         20/04/2026: Se realizó el pago para el registro de la medida                                                                      2/06/2026: Se solicita certificado de libertad y tradición y la medida de embargo ya esta debidamente registrada del bien inmueble.</t>
  </si>
  <si>
    <t>2026-00053</t>
  </si>
  <si>
    <t xml:space="preserve">18/03/2026: Auto No. 0376 decretando el embargo y secuestro del bien inmueble M.I. No. 44-78-763.                                            19/03/2026: Oficio No. 0162 dirijido a Oficina de registro de Instrumentos públicos de Pueto Asís para que se inscriba la medida.                                                               20/04/2026: Se realiza pago para el registro de la medida sobre el bien inmueble.                                                             5/05/2026: Respuesta de ORIP - Puerto Asís anexando el certificado de libertad y tradición con la medida debidamente registrada.                                                       26/05/2026: Auto No. 0340 en el cual comisiona al alcalde del municio de puerto asís para llevar a cabo la diligenia de secuestro.                                                       - Despacho comisorio                                                                                    </t>
  </si>
  <si>
    <t>2026-00060</t>
  </si>
  <si>
    <t xml:space="preserve">24/03/2026: Se solicitó link del expediente para su respectivo seguimiento.                                                                                  18/03/2026: Auto No. 0382 decretando el embargo del bien inmueble con M.I. No. 442-69033.                                   19/03/2026: Oficio No, 0165 dirijido a Oficina de registro de instrumentos púlicos de Puerto Asís para su inscripción.                                                                                20/04/2026: Se realizó el pago para el registro de la medida.                                               5/05/2026:Respuesta de ORIP - Puerto Asís anexando el certificado de libertad y tradición con la medida debidamente regstrada.                                                                   26/05/2026: Despacho comisorio                                       2/06/2026: Abonó el Sr. Dorian $4,000,000 a FOGADE                                                                   </t>
  </si>
  <si>
    <t>EN ACUERDO</t>
  </si>
  <si>
    <t xml:space="preserve">6/04/2026: Auto librando mandamiento de pago a favor de Fogade sas.                                                                                                                  6/04/2026: Auto decretando el embargo y secuestro de las medidas solicitadas.                                                                              16/04/2026: Oficios Dirijidos a Oficina de instrumentos públicos de Puerto Asís, Putumayo  y Pasto, Nariño para la inscripción de la medida de los bienes inmuebles.                                                                               24/04/2026: Se realizó el pago para el registro de las medidas.                                                                                                                 2/06/2026: Se bajan certificados de tradición con la medida debidamente registrada.                                                          </t>
  </si>
  <si>
    <t xml:space="preserve">4/02/2026: Se radicó demanda                                                      20/02/2026: Se libra mandamiento de pago a favor de FOGADE.                                      18/02/2026: Auto interlocutorio decretando las medidas solicitadas.                      19/03/2026: Oficio No. 175 dirijido a Secretaria de tránsito y transporte municipal para el registro de la medida.                                                          19/03/2026: Oficio No. 176 dirijido a Oficina de registro de instrumentos públicos para el registro de la medida                                               27/05/2026: Se paga para el registro de la medida de bien inmueble.                                         5/06/2026: se baja certificado de tradición con el registro de la medida.                                     5/06/2026:Se revisa pagiina RUNT y se ve reflejada el registro de la medida del vehiculo tipo motocicleta.                                                                                       </t>
  </si>
  <si>
    <t>2026-00019</t>
  </si>
  <si>
    <t xml:space="preserve">19/03/2026: Auto decretando las medidas solicitadas vehiculo tipo moto y bien inmueble.                                              23/04/2026: Oficio dirijido a Oficina de instrumentos públicos de Puerto Asís Putumayo para su inscripción.               23/04/2026: Oficio dirijido a Transito y Transporte municipal de Orito,Putumayo para la inscripción de la medida en el certificado de libertad y tradición.                                                                        28/04/2026: Se revisa pagina RUNT y se evidencia el registro de la medida del vehiculo tipo motocicleta.                                                                                      </t>
  </si>
  <si>
    <t xml:space="preserve">11/03/2026: Auto interlocutorio decretando las medidas solicitadas.                                                             13/03/2026: Se solicitó link de expediente digital                                              8/04/2026: Oficio No. 0199 dirijido a Oficina Instrumentos públicos de Puerto Asís Putumayo para la inscripción de la medida cautelar solicitada                                                                                       20/04/2026: Se realiza el pago para el registro de la medida del bien inmueble.                                                       2/06/2026: Se baja certificado de tradición con la medida debidamente registrada.                                                                                          </t>
  </si>
  <si>
    <t>2026-00085</t>
  </si>
  <si>
    <t>20/03/2026: Se radica demanda                                                  3/06/2026: Se libra mandamiento de pago a favor de fogade.                                                                                      4/06/2026: Se radica solicitud de corrección en el citado del auto de mandamiento de pago.</t>
  </si>
  <si>
    <r>
      <rPr>
        <b/>
        <sz val="11"/>
        <rFont val="Arial"/>
        <family val="2"/>
      </rPr>
      <t>EMBARGO Y SECUESTRO</t>
    </r>
    <r>
      <rPr>
        <sz val="11"/>
        <rFont val="Arial"/>
        <family val="2"/>
      </rPr>
      <t xml:space="preserve">, de motocicletas placas DYD45F, modelo 2020 y VPV01F,  modelo 2022 - propiedad de Julio Hdo. Nastacuas.  -   Instituto  Municipal Transporte y Movilidad - IMTRAM  Puerto Asís                                                                         </t>
    </r>
    <r>
      <rPr>
        <b/>
        <sz val="11"/>
        <rFont val="Arial"/>
        <family val="2"/>
      </rPr>
      <t xml:space="preserve">EMBARGO Y                  RETENCIÓN: </t>
    </r>
    <r>
      <rPr>
        <sz val="11"/>
        <rFont val="Arial"/>
        <family val="2"/>
      </rPr>
      <t>Cuentas bancarias; BANCO NU, CONTACTAR, NEQUI, BBVA, BANCOLOMBIA</t>
    </r>
  </si>
  <si>
    <t>27/03/2026: Se solicitó nuevamente link, debido a inconsistencias al ingresar.                                    28/05/2026: Se radica aprobación de liquidación de crédito.                                                                                  22/06/2026: Se realizo consulta de bienes suceptibles de embargo - consultas negativas.</t>
  </si>
  <si>
    <t xml:space="preserve">17/04/2026: Consulta de bienes suceptibles de embargo; Resultado Negativo.  </t>
  </si>
  <si>
    <t xml:space="preserve">7/05/2026: consulta de bienes suceptibles de embargo, respuesta; Negativa.                                                                                                   8/05/2026: Se radica solicitud de inmovilización </t>
  </si>
  <si>
    <r>
      <t xml:space="preserve">21/05/2026: Se presentó memorial en el cual solicita al despacho informar si la curadora Ad-Litem designada fue debidamente  notificada. En caso negativo, pide efectuar la notificación correspondiente; y de haberse surtido la misma sin actuación de la curadora, solicita continuar con el tramite procesal                                                                                                                                22/05/2026: Se radica solicitud de media cautelar motocicleta - </t>
    </r>
    <r>
      <rPr>
        <b/>
        <sz val="11"/>
        <color theme="1"/>
        <rFont val="Calibri"/>
        <family val="2"/>
        <scheme val="minor"/>
      </rPr>
      <t xml:space="preserve">DE PLACAS UTV76H  MODELO: 2026                                                   </t>
    </r>
    <r>
      <rPr>
        <sz val="11"/>
        <color theme="1"/>
        <rFont val="Calibri"/>
        <family val="2"/>
        <scheme val="minor"/>
      </rPr>
      <t>22/05/2026: Consulta de bienes suceptibles de embargo - negativo</t>
    </r>
  </si>
  <si>
    <r>
      <rPr>
        <b/>
        <sz val="11"/>
        <color rgb="FF000000"/>
        <rFont val="Arial"/>
      </rPr>
      <t>EMBARGO Y SECUESTRO</t>
    </r>
    <r>
      <rPr>
        <sz val="11"/>
        <color rgb="FF000000"/>
        <rFont val="Arial"/>
      </rPr>
      <t xml:space="preserve"> motocicleta plcas PZ192F modelo 2022. .                                         </t>
    </r>
  </si>
  <si>
    <t>2,000,000</t>
  </si>
  <si>
    <t>28/05/2026: Se radica solicitud de desistimiento de la medida cautelar de secuestro y levantamiento de la motocicleta, teniendo en cuenta el abono de $2.000.000 efectuado por el señor Jhon Jasi. Una vez el despacho se pronuncie sobre dicha solicitud, se establecerá comunicación con el deudor para gestionar un acuerdo de pago que permita la cancelación de la obligación o, en su defecto, el pago total de la misma.</t>
  </si>
  <si>
    <t>13/03/2026: Se solicitó link del expediente actualizado para verificar respuestas de la medida y su cuaderno principal.                                                                                                                       22/06/2026: Consultas de bienes suceptibles de embargo; respuesta negativa                                                                                                 22/06/2026: Se solicitó link Actulizado  toda vez que el último documento registrado en el mismo corresponde al año 2024.</t>
  </si>
  <si>
    <t>7/05/2026: Se radica liquidación de credito.                                                                                                                                                                  22/06/2026: Consulta de bienes suceptibles de embargo, respuesta; Negativa.</t>
  </si>
  <si>
    <t>2025-00389</t>
  </si>
  <si>
    <t>18-12-2025: En trámite procesal de admisión                                                                                            9/02/2026: Se inadmite demanda                             11/02/2026: Se subsana demanda                                                                                                               4/05/2026: Se insiste en Respuesta</t>
  </si>
  <si>
    <t>Notificación</t>
  </si>
  <si>
    <t xml:space="preserve">9/04/2026: Auto interlocutorio No. 165; se libra mandamiento de pago a favor de Fogade.                                                                  9/04/2026: Auto interlocutorio N.166 Decretando la medida solicitada.                                                   27/05/2026: Oficio No. 319 dirijido a Secretaria de tránsito y transporte municipal valle del guamuez - la hormiga.                                                                                             1/06/2026: Transito registra la medida en el runt.      </t>
  </si>
  <si>
    <t xml:space="preserve">20/04/2026: Se libra mandamiento de pago a favor de fogade sas.                                                                           20/04/2026: Auto decretando las medidas solicitadas                                                              2/06/2026: Oficio No.346 dirijido a Transito y transporte para el registro de la medida.                                                                4/06/2026:Se recibe respuesta de la Secretaría de Tránsito, mediante la cual se informa que la medida cautelar ya se encuentra debidamente registrada en el Registro Único Nacional de Tránsito (RUNT)                                    </t>
  </si>
  <si>
    <t xml:space="preserve">13/04/2026: se radica solicitud de link del expediente digital para su respectivo seguimiento.                                           9/04/2026: Auto interlocutorio No. 168 decretando las medidadas solicitadas.                                                                27/05/2026: Oficio No. 318 dirjido a Transito transporte - La hormiga para la inscripción de la medida cautelar.                                                                      2/06/2026: Se recibe respuesta de la Secretaría de Tránsito, mediante la cual se informa que la medida cautelar ya se encuentra debidamente registrada en el Registro Único Nacional de Tránsito (RUNT)                                                                               </t>
  </si>
  <si>
    <t>21/05/2026: Se reenvió Pronunciamiento                                                                                  23/ 06/2026: Sin respuesta sobre el pronunciamiento a las excepciones 23/06/2026: Consulta de bienes suceptibles de embargo, respuesta; Negativa.</t>
  </si>
  <si>
    <t>22/06/2026: consulta de bienes suceptibles de embargo. Resutaldo Fosyga; Cotizante - retirado. Estaremos pendientes si sigue en los siguientes meses cotizando y si aparece activo.                                                                        23/06/2026: Se revisa respuestas de los trámites pendientes - sin respuestas.</t>
  </si>
  <si>
    <t xml:space="preserve">9/04/2026: Se solicitó link del expediente digital.                                            19/03/2026: Oficio No. 173 dirijido a TRANSITO Y TRANSPORTE MUNICIPAL - LA HIORMIGA  , Y CAMARA DE COMERCIO DEL PUTUMAYO para que haga el registro de la medida cautelar.                                                                                   6/04/2026: Respuesta de camara de comercio que ya esta debidamente registrada la medida en el certificado de propiedad de geovanny.                                                                                                                                    </t>
  </si>
  <si>
    <t xml:space="preserve">20/1/2026: Se libra mandamiento de pago a favor de fogade sas.                                   20/04/2026: Juzgado emite auto N.180 decretando las medidas solicitadas.                  </t>
  </si>
  <si>
    <t>24/06/2026: Se verifica el certificado de Cámara de Comercio y se evidencia que el bien objeto de estudio no corresponde a un establecimiento de comercio, razón por la cual no resulta viable constituir una garantía sobre el mismo.</t>
  </si>
  <si>
    <t xml:space="preserve">09/04/2026: Se solicitó nuevamente el Link del expediente digital debido a inconsistencias al ingresar.                                          25/03/2026: Oficio No. 192 dirijido a transito  y transporte para realizar la incripcion de la medida.                                                                 8/04/2026: Respuesta de transito manifestando que realizó la inscripcion de la medida de embargo.                                                                                                </t>
  </si>
  <si>
    <t xml:space="preserve">17/01/2026: Se solicitó inmovilización de las motocicletasde placas:  COA19G y XTQ05F.                                                                                                         9/02/2026: Auto interlocutorio decretanto la medida de las motocicletas solicitadas.                                                              11/02/2026: Oficio dirijido a Policia Nacional del valle del guamuez -   para el cumplimiento del Auto.                                    24/06/2026: Se hace consulta de bienes suceptibles de embargo; El sr. Ivan esta cotizando desde el 1 de enero de 2026 hasta mayo los 30 dias, se pasa a consulta laboral.                                                                                                                                                                     </t>
  </si>
  <si>
    <t>26/03/2026: Se hace consulta de bienes suceptiles de embargo.- resultado; negativo.                                               12/05/2026: Se reenció solicitud de diligencia de secuestro debido a que habia pasado un tiempo prudencial sin obtener respuesta.                                                    2/06/2026: Se radica reporte de notificación electronica del sr. Amadeo Sanchez Ojeda</t>
  </si>
  <si>
    <t xml:space="preserve">18/03/2026: Auto manifestando que juzgado tiene por notificado al sr. Yeroby patiño  y que notifique a la srs. Maria sonia.                                                                                                           20/04/2026: Se radica aclaracion sobr el reporte de notificacion de la sra. maria sonia, el cual el juzgado requerio que se la notifique cuando ya se habia presentado el reporte de notificación de fecha 13/08/2025 y que mediante auto de fcha 6/10/2025 se dio por notificada por juzgado.                                                       28/05/2026: Se radica solicitud sobre asginación de nuevo secuestro pars llevar a cabo la diligencia de secuestro debido a la imposibilidad de la secuestre asignada por el el juzgado.                                                           </t>
  </si>
  <si>
    <t xml:space="preserve">27-10-2025: Reporte de notificación- Alvaro Fajardo.                                                                                                                                                                                                                                                                                                                                                                                                                                                                             11-12-2025:  Juzgado,  tiene  por notificado a Alvaro Enrique Fajardo.                                                     4/05/2026: El sr. Alvaro abona 400.000 </t>
  </si>
  <si>
    <t xml:space="preserve">30/05/2026: Reporte de abono a fogade $ 500,000 mes de mayo                                                                                                                                         </t>
  </si>
  <si>
    <t xml:space="preserve">27/03/2026: Respuesta de cámara de comercio del Putumayo manifestando sobre la orden de embargo sobre el establecimiento de comercio AGROINSUMOS DEL CAMPO PUTUMAYO  de M.No. 73520 fue registrada.                                        7/04/2026: Respuesta de tránsito de Pto Asís manifestando que ya esta registrada la medida.                                                         24/04/2026.Auto No. 0529 comisionando al Alcalde de Puerto Asís para que se lleve a cabo la diligencia de secuestro.                               27/04/2026: Oficio No. 0277 dirijdo a la Policia Nacional ordenando la inmovilización del vehiculo tio motocicleta.                                             30/04/2026: Se recibe despacho comisorio mediante correo y con copia a la alcaldia de Puerto Asís.                             11/05/2026: Se radica reporte de notificación electrónica al acreedor prendario - RENTAR.                                                                                                                                                                  11/05/2026: Se radica reporte de notificación electrónica a la demanda Sra. Yarly Yuliza y Sr. Jonathan vasquez.                                        13/05/2026: Se radica constancia de no encontrarse el establecimiento.                        11/06/2026:Sale auto de seguir adelante.                                                                                           17//06/2026: Auto ordenando al alcalde de puerto asis para la devolucion  del despacho comisorio                                                                                                                                                                                                                                                                                                                                                           </t>
  </si>
  <si>
    <t>14/03/2026: Realizada consulta laboral y de bien inmueble.- Resultado.- Negativo.                                                                                               2/062026: Se radica solicitud de medida cautelar sobre cuentas bancarias de ahorro y créito , corrienet, ctd, bonos o de cualquier otro título bancario a  nombre del deudor principal y codeudor.                                                                                       17/06/2026: Auto decretando las medidas de embargo</t>
  </si>
  <si>
    <t xml:space="preserve">25/05/2026: con reporte de tituos a Fogade $4,924,865                                                                 1/06/2026: Se radica actualización de credito                                                                                                            1/06/2026: Se radica ampliación de medida cautelar                                                           2/06/2026: Se corre traslado de la liquidación de crédito                                                                                        2/06/2026: Auto del despacho absteniendose a dar tramite a la ampliacion de la medida hasta que no se proceda a dar tramite con la actualizacion de credito.                                                             11/06/2026: autoaprobando la actualizacion de credito.                                                           25/06/2026: Se radica aclaracion sobre la actualizacion de credito y que se tenga en cuenta la aprobacion de ella para la ampliacion de medida                                                                                                                                                                                                              </t>
  </si>
  <si>
    <t xml:space="preserve">16/04/2026: Oficio No. 447 del despacho informando los titulos pendientes para entregar y que se encuentran autorizados para el retiro.                                                                              22/04/2026: Se reporta titulos de $3,000,000 a fogade                                                                           16/06/2026: Se reporta titulos de $430,273 a fogade.                                                                                                         </t>
  </si>
  <si>
    <t xml:space="preserve"> 20/05/2026: Se radica solicitud de trámites procesales, insistiendo en la actualización de la liquidación del crédito y en la ampliación de la medida cautelar.
28/05/2026: Mediante Auto No. 0449, el despacho modifica la liquidación del crédito, imputa títulos judiciales y decreta la terminación del proceso por pago total de la obligación.
03/06/2026: Se interpone recurso de reposición contra el Auto No. 0449 de 28 de mayo de 2026.
17/06/2026:  Mediante Auto No. 0535, el despacho decide no reponer el Auto No. 0449 y ordena cumplir lo allí dispuesto, manteniendo la terminación del proceso.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</si>
</sst>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 #,##0_-;\-&quot;$&quot;\ * #,##0_-;_-&quot;$&quot;\ * &quot;-&quot;_-;_-@_-"/>
    <numFmt numFmtId="41" formatCode="_-* #,##0_-;\-* #,##0_-;_-* &quot;-&quot;_-;_-@_-"/>
    <numFmt numFmtId="164" formatCode="&quot;$&quot;#,##0"/>
    <numFmt numFmtId="165" formatCode="_(&quot;$&quot;* #,##0_);_(&quot;$&quot;* \(#,##0\);_(&quot;$&quot;* &quot;-&quot;_);_(@_)"/>
    <numFmt numFmtId="166" formatCode="0_ ;[Red]\-0\ "/>
    <numFmt numFmtId="167" formatCode="[$$-240A]\ #,##0"/>
  </numFmts>
  <fonts count="28" x14ac:knownFonts="1">
    <font>
      <sz val="11"/>
      <color theme="1"/>
      <name val="Calibri"/>
      <family val="2"/>
      <scheme val="minor"/>
    </font>
    <font>
      <sz val="10"/>
      <name val="Arial"/>
      <family val="2"/>
    </font>
    <font>
      <sz val="11"/>
      <color theme="1"/>
      <name val="Calibri"/>
      <family val="2"/>
      <scheme val="minor"/>
    </font>
    <font>
      <sz val="10"/>
      <color indexed="8"/>
      <name val="Arial"/>
      <family val="2"/>
    </font>
    <font>
      <b/>
      <sz val="9"/>
      <color indexed="81"/>
      <name val="Tahoma"/>
      <family val="2"/>
    </font>
    <font>
      <sz val="9"/>
      <color indexed="81"/>
      <name val="Tahoma"/>
      <family val="2"/>
    </font>
    <font>
      <sz val="10"/>
      <color theme="1"/>
      <name val="Calibri"/>
      <family val="2"/>
      <scheme val="minor"/>
    </font>
    <font>
      <sz val="11"/>
      <color rgb="FFFF0000"/>
      <name val="Calibri"/>
      <family val="2"/>
      <scheme val="minor"/>
    </font>
    <font>
      <sz val="9"/>
      <color theme="1"/>
      <name val="Calibri"/>
      <family val="2"/>
      <scheme val="minor"/>
    </font>
    <font>
      <sz val="11"/>
      <color rgb="FF9C6500"/>
      <name val="Calibri"/>
      <family val="2"/>
      <scheme val="minor"/>
    </font>
    <font>
      <b/>
      <sz val="11"/>
      <name val="Calibri"/>
      <family val="2"/>
      <scheme val="minor"/>
    </font>
    <font>
      <b/>
      <sz val="11"/>
      <color theme="1"/>
      <name val="Century Gothic"/>
      <family val="2"/>
    </font>
    <font>
      <b/>
      <sz val="12"/>
      <color theme="1"/>
      <name val="Calibri"/>
      <family val="2"/>
      <scheme val="minor"/>
    </font>
    <font>
      <sz val="11"/>
      <color theme="1"/>
      <name val="Arial"/>
      <family val="2"/>
    </font>
    <font>
      <b/>
      <sz val="11"/>
      <color theme="1"/>
      <name val="Arial"/>
      <family val="2"/>
    </font>
    <font>
      <b/>
      <sz val="10"/>
      <color theme="0"/>
      <name val="Arial"/>
      <family val="2"/>
    </font>
    <font>
      <sz val="11"/>
      <name val="Arial"/>
      <family val="2"/>
    </font>
    <font>
      <b/>
      <sz val="11"/>
      <name val="Arial"/>
      <family val="2"/>
    </font>
    <font>
      <sz val="10"/>
      <color theme="1"/>
      <name val="Arial"/>
      <family val="2"/>
    </font>
    <font>
      <b/>
      <sz val="11"/>
      <color rgb="FF000000"/>
      <name val="Arial"/>
    </font>
    <font>
      <sz val="11"/>
      <color rgb="FF000000"/>
      <name val="Arial"/>
    </font>
    <font>
      <sz val="11"/>
      <color rgb="FF000000"/>
      <name val="Century Gothic"/>
      <family val="2"/>
    </font>
    <font>
      <b/>
      <sz val="11"/>
      <color rgb="FF000000"/>
      <name val="Century Gothic"/>
      <family val="2"/>
    </font>
    <font>
      <sz val="11"/>
      <color rgb="FF000000"/>
      <name val="Arial"/>
      <family val="2"/>
    </font>
    <font>
      <b/>
      <sz val="11"/>
      <color rgb="FF000000"/>
      <name val="Arial"/>
      <family val="2"/>
    </font>
    <font>
      <sz val="11"/>
      <color rgb="FF000000"/>
      <name val="Arial"/>
      <charset val="1"/>
    </font>
    <font>
      <sz val="11"/>
      <color rgb="FFFF0000"/>
      <name val="Arial"/>
    </font>
    <font>
      <b/>
      <sz val="11"/>
      <color theme="1"/>
      <name val="Calibri"/>
      <family val="2"/>
      <scheme val="minor"/>
    </font>
  </fonts>
  <fills count="10">
    <fill>
      <patternFill patternType="none"/>
    </fill>
    <fill>
      <patternFill patternType="gray125"/>
    </fill>
    <fill>
      <patternFill patternType="solid">
        <fgColor rgb="FFFFEB9C"/>
      </patternFill>
    </fill>
    <fill>
      <patternFill patternType="solid">
        <fgColor rgb="FF0070C0"/>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theme="8" tint="0.39997558519241921"/>
        <bgColor indexed="64"/>
      </patternFill>
    </fill>
    <fill>
      <patternFill patternType="solid">
        <fgColor rgb="FFCEA9EB"/>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s>
  <cellStyleXfs count="7">
    <xf numFmtId="0" fontId="0" fillId="0" borderId="0"/>
    <xf numFmtId="41" fontId="2" fillId="0" borderId="0" applyFont="0" applyFill="0" applyBorder="0" applyAlignment="0" applyProtection="0"/>
    <xf numFmtId="0" fontId="1" fillId="0" borderId="0"/>
    <xf numFmtId="165" fontId="3" fillId="0" borderId="0"/>
    <xf numFmtId="0" fontId="9" fillId="2" borderId="0" applyNumberFormat="0" applyBorder="0" applyAlignment="0" applyProtection="0"/>
    <xf numFmtId="41" fontId="2" fillId="0" borderId="0" applyFont="0" applyFill="0" applyBorder="0" applyAlignment="0" applyProtection="0"/>
    <xf numFmtId="42" fontId="3" fillId="0" borderId="0"/>
  </cellStyleXfs>
  <cellXfs count="155">
    <xf numFmtId="0" fontId="0" fillId="0" borderId="0" xfId="0"/>
    <xf numFmtId="0" fontId="0" fillId="0" borderId="0" xfId="0" applyAlignment="1">
      <alignment horizontal="left"/>
    </xf>
    <xf numFmtId="0" fontId="6" fillId="0" borderId="0" xfId="0" applyFont="1"/>
    <xf numFmtId="0" fontId="7" fillId="0" borderId="0" xfId="0" applyFont="1" applyAlignment="1">
      <alignment horizontal="left"/>
    </xf>
    <xf numFmtId="0" fontId="8" fillId="0" borderId="0" xfId="0" applyFont="1"/>
    <xf numFmtId="166" fontId="0" fillId="0" borderId="0" xfId="0" applyNumberFormat="1"/>
    <xf numFmtId="0" fontId="10" fillId="0" borderId="0" xfId="0" applyFont="1"/>
    <xf numFmtId="0" fontId="0" fillId="0" borderId="0" xfId="0" applyProtection="1">
      <protection locked="0"/>
    </xf>
    <xf numFmtId="0" fontId="11" fillId="0" borderId="1" xfId="0" applyFont="1" applyBorder="1" applyAlignment="1">
      <alignment horizontal="center" vertical="center"/>
    </xf>
    <xf numFmtId="0" fontId="11" fillId="4" borderId="1" xfId="0" applyFont="1" applyFill="1" applyBorder="1" applyAlignment="1">
      <alignment horizontal="center" wrapText="1"/>
    </xf>
    <xf numFmtId="0" fontId="11" fillId="5" borderId="1" xfId="0" applyFont="1" applyFill="1" applyBorder="1" applyAlignment="1">
      <alignment horizontal="center" wrapText="1"/>
    </xf>
    <xf numFmtId="0" fontId="11" fillId="7" borderId="1" xfId="0" applyFont="1" applyFill="1" applyBorder="1" applyAlignment="1">
      <alignment horizontal="center" wrapText="1"/>
    </xf>
    <xf numFmtId="0" fontId="12" fillId="0" borderId="1" xfId="0" applyFont="1" applyBorder="1" applyAlignment="1">
      <alignment horizontal="center" vertical="center"/>
    </xf>
    <xf numFmtId="0" fontId="15" fillId="3" borderId="6" xfId="0" applyFont="1" applyFill="1" applyBorder="1" applyAlignment="1" applyProtection="1">
      <alignment horizontal="center" vertical="center" wrapText="1"/>
      <protection locked="0"/>
    </xf>
    <xf numFmtId="166" fontId="15" fillId="3" borderId="6" xfId="0" applyNumberFormat="1" applyFont="1" applyFill="1" applyBorder="1" applyAlignment="1" applyProtection="1">
      <alignment horizontal="center" vertical="center" wrapText="1"/>
      <protection locked="0"/>
    </xf>
    <xf numFmtId="0" fontId="15" fillId="3" borderId="8" xfId="0" applyFont="1" applyFill="1" applyBorder="1" applyAlignment="1" applyProtection="1">
      <alignment horizontal="center" vertical="center" wrapText="1"/>
      <protection locked="0"/>
    </xf>
    <xf numFmtId="0" fontId="15" fillId="3" borderId="1" xfId="0" applyFont="1" applyFill="1" applyBorder="1" applyAlignment="1" applyProtection="1">
      <alignment horizontal="center" vertical="center" wrapText="1"/>
      <protection locked="0"/>
    </xf>
    <xf numFmtId="0" fontId="15" fillId="3" borderId="10" xfId="0" applyFont="1" applyFill="1" applyBorder="1" applyAlignment="1" applyProtection="1">
      <alignment horizontal="center" vertical="center" wrapText="1"/>
      <protection locked="0"/>
    </xf>
    <xf numFmtId="41" fontId="15" fillId="3" borderId="6" xfId="1" applyFont="1" applyFill="1" applyBorder="1" applyAlignment="1" applyProtection="1">
      <alignment horizontal="center" vertical="center" wrapText="1"/>
      <protection locked="0"/>
    </xf>
    <xf numFmtId="0" fontId="11" fillId="6" borderId="12" xfId="0" applyFont="1" applyFill="1" applyBorder="1" applyAlignment="1">
      <alignment horizontal="center" wrapText="1"/>
    </xf>
    <xf numFmtId="0" fontId="11" fillId="0" borderId="12" xfId="0" applyFont="1" applyBorder="1" applyAlignment="1">
      <alignment horizontal="center" vertical="center"/>
    </xf>
    <xf numFmtId="0" fontId="14" fillId="8" borderId="1" xfId="0" applyFont="1" applyFill="1" applyBorder="1" applyAlignment="1">
      <alignment horizontal="center" vertical="center" wrapText="1"/>
    </xf>
    <xf numFmtId="0" fontId="13" fillId="8" borderId="1" xfId="0" applyFont="1" applyFill="1" applyBorder="1" applyAlignment="1">
      <alignment horizontal="center" vertical="center"/>
    </xf>
    <xf numFmtId="0" fontId="13" fillId="8" borderId="1" xfId="0" applyFont="1" applyFill="1" applyBorder="1" applyAlignment="1">
      <alignment horizontal="center" vertical="center" wrapText="1"/>
    </xf>
    <xf numFmtId="14" fontId="13" fillId="8" borderId="6" xfId="0" applyNumberFormat="1" applyFont="1" applyFill="1" applyBorder="1" applyAlignment="1">
      <alignment horizontal="center" vertical="center"/>
    </xf>
    <xf numFmtId="0" fontId="13" fillId="8" borderId="10" xfId="0" applyFont="1" applyFill="1" applyBorder="1" applyAlignment="1">
      <alignment horizontal="left" vertical="center" indent="1"/>
    </xf>
    <xf numFmtId="1" fontId="13" fillId="8" borderId="4" xfId="0" applyNumberFormat="1" applyFont="1" applyFill="1" applyBorder="1" applyAlignment="1">
      <alignment horizontal="center" vertical="center" wrapText="1"/>
    </xf>
    <xf numFmtId="164" fontId="16" fillId="8" borderId="1" xfId="0" applyNumberFormat="1" applyFont="1" applyFill="1" applyBorder="1" applyAlignment="1">
      <alignment horizontal="center" vertical="center" wrapText="1"/>
    </xf>
    <xf numFmtId="14" fontId="16" fillId="8" borderId="1" xfId="0" applyNumberFormat="1" applyFont="1" applyFill="1" applyBorder="1" applyAlignment="1">
      <alignment horizontal="center" vertical="center" wrapText="1"/>
    </xf>
    <xf numFmtId="14" fontId="17" fillId="8" borderId="1" xfId="0" applyNumberFormat="1" applyFont="1" applyFill="1" applyBorder="1" applyAlignment="1">
      <alignment horizontal="center" vertical="center" wrapText="1"/>
    </xf>
    <xf numFmtId="14" fontId="16" fillId="8" borderId="1" xfId="0" applyNumberFormat="1" applyFont="1" applyFill="1" applyBorder="1" applyAlignment="1">
      <alignment horizontal="center" vertical="center"/>
    </xf>
    <xf numFmtId="0" fontId="13" fillId="8" borderId="1" xfId="0" applyFont="1" applyFill="1" applyBorder="1"/>
    <xf numFmtId="14" fontId="16" fillId="8" borderId="1" xfId="0" applyNumberFormat="1" applyFont="1" applyFill="1" applyBorder="1" applyAlignment="1">
      <alignment horizontal="left" vertical="center" wrapText="1"/>
    </xf>
    <xf numFmtId="164" fontId="16" fillId="8" borderId="1" xfId="0" applyNumberFormat="1" applyFont="1" applyFill="1" applyBorder="1" applyAlignment="1">
      <alignment horizontal="center" vertical="center"/>
    </xf>
    <xf numFmtId="0" fontId="16" fillId="8" borderId="1" xfId="0" applyFont="1" applyFill="1" applyBorder="1" applyAlignment="1">
      <alignment vertical="top" wrapText="1"/>
    </xf>
    <xf numFmtId="0" fontId="16" fillId="8" borderId="1" xfId="0" applyFont="1" applyFill="1" applyBorder="1" applyAlignment="1">
      <alignment horizontal="center" vertical="center" wrapText="1"/>
    </xf>
    <xf numFmtId="0" fontId="13" fillId="8" borderId="6" xfId="0" applyFont="1" applyFill="1" applyBorder="1" applyAlignment="1">
      <alignment horizontal="center" vertical="center" wrapText="1"/>
    </xf>
    <xf numFmtId="0" fontId="14" fillId="8" borderId="8" xfId="0" applyFont="1" applyFill="1" applyBorder="1" applyAlignment="1">
      <alignment horizontal="center" vertical="center" wrapText="1"/>
    </xf>
    <xf numFmtId="0" fontId="13" fillId="8" borderId="8" xfId="0" applyFont="1" applyFill="1" applyBorder="1" applyAlignment="1">
      <alignment horizontal="center" vertical="center" wrapText="1"/>
    </xf>
    <xf numFmtId="0" fontId="13" fillId="8" borderId="10" xfId="0" quotePrefix="1" applyFont="1" applyFill="1" applyBorder="1" applyAlignment="1">
      <alignment horizontal="left" vertical="center" indent="1"/>
    </xf>
    <xf numFmtId="14" fontId="13" fillId="8" borderId="0" xfId="0" applyNumberFormat="1" applyFont="1" applyFill="1" applyAlignment="1">
      <alignment horizontal="center" vertical="center"/>
    </xf>
    <xf numFmtId="14" fontId="13" fillId="8" borderId="1" xfId="0" applyNumberFormat="1" applyFont="1" applyFill="1" applyBorder="1" applyAlignment="1">
      <alignment horizontal="center" vertical="center"/>
    </xf>
    <xf numFmtId="0" fontId="16" fillId="8" borderId="1" xfId="0" applyFont="1" applyFill="1" applyBorder="1" applyAlignment="1">
      <alignment horizontal="left" vertical="center" indent="1"/>
    </xf>
    <xf numFmtId="14" fontId="16" fillId="8" borderId="1" xfId="0" applyNumberFormat="1" applyFont="1" applyFill="1" applyBorder="1" applyAlignment="1">
      <alignment vertical="top" wrapText="1"/>
    </xf>
    <xf numFmtId="0" fontId="14" fillId="8" borderId="2" xfId="0" applyFont="1" applyFill="1" applyBorder="1" applyAlignment="1">
      <alignment horizontal="center" vertical="center" wrapText="1"/>
    </xf>
    <xf numFmtId="0" fontId="16" fillId="8" borderId="10" xfId="0" applyFont="1" applyFill="1" applyBorder="1" applyAlignment="1">
      <alignment horizontal="left" vertical="center" indent="1"/>
    </xf>
    <xf numFmtId="14" fontId="20" fillId="8" borderId="1" xfId="0" applyNumberFormat="1" applyFont="1" applyFill="1" applyBorder="1" applyAlignment="1">
      <alignment horizontal="center" vertical="center" wrapText="1"/>
    </xf>
    <xf numFmtId="14" fontId="16" fillId="8" borderId="1" xfId="0" applyNumberFormat="1" applyFont="1" applyFill="1" applyBorder="1" applyAlignment="1">
      <alignment horizontal="left" vertical="top" wrapText="1"/>
    </xf>
    <xf numFmtId="0" fontId="17" fillId="8" borderId="2" xfId="0" applyFont="1" applyFill="1" applyBorder="1" applyAlignment="1">
      <alignment horizontal="center" vertical="center" wrapText="1"/>
    </xf>
    <xf numFmtId="167" fontId="16" fillId="8" borderId="11" xfId="0" applyNumberFormat="1" applyFont="1" applyFill="1" applyBorder="1" applyAlignment="1">
      <alignment horizontal="center" vertical="center" wrapText="1"/>
    </xf>
    <xf numFmtId="14" fontId="16" fillId="8" borderId="6" xfId="0" applyNumberFormat="1" applyFont="1" applyFill="1" applyBorder="1" applyAlignment="1">
      <alignment horizontal="center" vertical="center"/>
    </xf>
    <xf numFmtId="0" fontId="13" fillId="8" borderId="6" xfId="0" applyFont="1" applyFill="1" applyBorder="1" applyAlignment="1">
      <alignment horizontal="left" vertical="center" indent="1"/>
    </xf>
    <xf numFmtId="166" fontId="16" fillId="8" borderId="1" xfId="0" applyNumberFormat="1" applyFont="1" applyFill="1" applyBorder="1" applyAlignment="1">
      <alignment horizontal="center" vertical="center" wrapText="1"/>
    </xf>
    <xf numFmtId="14" fontId="13" fillId="8" borderId="1" xfId="0" applyNumberFormat="1" applyFont="1" applyFill="1" applyBorder="1" applyAlignment="1">
      <alignment horizontal="center" vertical="center" wrapText="1"/>
    </xf>
    <xf numFmtId="1" fontId="13" fillId="8" borderId="1" xfId="0" applyNumberFormat="1" applyFont="1" applyFill="1" applyBorder="1" applyAlignment="1">
      <alignment horizontal="center" vertical="center" wrapText="1"/>
    </xf>
    <xf numFmtId="0" fontId="20" fillId="8" borderId="1" xfId="0" applyFont="1" applyFill="1" applyBorder="1" applyAlignment="1">
      <alignment horizontal="center" vertical="center" wrapText="1"/>
    </xf>
    <xf numFmtId="0" fontId="13" fillId="8" borderId="4" xfId="0" quotePrefix="1" applyFont="1" applyFill="1" applyBorder="1" applyAlignment="1">
      <alignment horizontal="left" vertical="center" indent="1"/>
    </xf>
    <xf numFmtId="167" fontId="16" fillId="8" borderId="2" xfId="0" applyNumberFormat="1" applyFont="1" applyFill="1" applyBorder="1" applyAlignment="1">
      <alignment horizontal="center" vertical="center" wrapText="1"/>
    </xf>
    <xf numFmtId="0" fontId="13" fillId="8" borderId="4" xfId="0" applyFont="1" applyFill="1" applyBorder="1" applyAlignment="1">
      <alignment horizontal="left" vertical="center" indent="1"/>
    </xf>
    <xf numFmtId="1" fontId="13" fillId="8" borderId="4" xfId="0" applyNumberFormat="1" applyFont="1" applyFill="1" applyBorder="1" applyAlignment="1">
      <alignment horizontal="center" vertical="center"/>
    </xf>
    <xf numFmtId="167" fontId="16" fillId="8" borderId="1" xfId="0" applyNumberFormat="1" applyFont="1" applyFill="1" applyBorder="1" applyAlignment="1">
      <alignment horizontal="center" vertical="center" wrapText="1"/>
    </xf>
    <xf numFmtId="0" fontId="13" fillId="8" borderId="11" xfId="0" applyFont="1" applyFill="1" applyBorder="1" applyAlignment="1">
      <alignment horizontal="center" vertical="center" wrapText="1"/>
    </xf>
    <xf numFmtId="167" fontId="16" fillId="8" borderId="8" xfId="0" applyNumberFormat="1" applyFont="1" applyFill="1" applyBorder="1" applyAlignment="1">
      <alignment horizontal="center" vertical="center" wrapText="1"/>
    </xf>
    <xf numFmtId="167" fontId="16" fillId="8" borderId="6" xfId="0" applyNumberFormat="1" applyFont="1" applyFill="1" applyBorder="1" applyAlignment="1">
      <alignment horizontal="center" vertical="center" wrapText="1"/>
    </xf>
    <xf numFmtId="0" fontId="13" fillId="8" borderId="1" xfId="0" applyFont="1" applyFill="1" applyBorder="1" applyAlignment="1">
      <alignment horizontal="left" vertical="center" indent="1"/>
    </xf>
    <xf numFmtId="0" fontId="13" fillId="8" borderId="2" xfId="0" applyFont="1" applyFill="1" applyBorder="1" applyAlignment="1">
      <alignment horizontal="center" vertical="center" wrapText="1"/>
    </xf>
    <xf numFmtId="0" fontId="16" fillId="8" borderId="1" xfId="0" applyFont="1" applyFill="1" applyBorder="1" applyAlignment="1">
      <alignment horizontal="left" vertical="top" wrapText="1"/>
    </xf>
    <xf numFmtId="1" fontId="16" fillId="8" borderId="1" xfId="0" applyNumberFormat="1" applyFont="1" applyFill="1" applyBorder="1" applyAlignment="1">
      <alignment horizontal="center" vertical="center" wrapText="1"/>
    </xf>
    <xf numFmtId="0" fontId="17" fillId="8" borderId="1" xfId="0" applyFont="1" applyFill="1" applyBorder="1" applyAlignment="1">
      <alignment horizontal="center" vertical="center" wrapText="1"/>
    </xf>
    <xf numFmtId="0" fontId="13" fillId="8" borderId="11" xfId="0" applyFont="1" applyFill="1" applyBorder="1" applyAlignment="1">
      <alignment horizontal="center" vertical="center"/>
    </xf>
    <xf numFmtId="0" fontId="14"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4" fontId="13" fillId="8" borderId="7" xfId="0" applyNumberFormat="1" applyFont="1" applyFill="1" applyBorder="1" applyAlignment="1">
      <alignment horizontal="center" vertical="center"/>
    </xf>
    <xf numFmtId="0" fontId="13" fillId="8" borderId="5" xfId="0" applyFont="1" applyFill="1" applyBorder="1" applyAlignment="1">
      <alignment horizontal="left" vertical="center" indent="1"/>
    </xf>
    <xf numFmtId="0" fontId="21" fillId="8" borderId="0" xfId="0" applyFont="1" applyFill="1" applyAlignment="1">
      <alignment horizontal="center" vertical="center" wrapText="1"/>
    </xf>
    <xf numFmtId="166" fontId="13" fillId="8" borderId="0" xfId="0" applyNumberFormat="1" applyFont="1" applyFill="1" applyAlignment="1">
      <alignment horizontal="center" vertical="center"/>
    </xf>
    <xf numFmtId="14" fontId="18" fillId="8" borderId="1" xfId="0" applyNumberFormat="1" applyFont="1" applyFill="1" applyBorder="1" applyAlignment="1">
      <alignment horizontal="center" vertical="center" wrapText="1"/>
    </xf>
    <xf numFmtId="0" fontId="18" fillId="8" borderId="1" xfId="0" applyFont="1" applyFill="1" applyBorder="1" applyAlignment="1">
      <alignment horizontal="center" vertical="center" wrapText="1"/>
    </xf>
    <xf numFmtId="0" fontId="13" fillId="8" borderId="1" xfId="0" applyFont="1" applyFill="1" applyBorder="1" applyAlignment="1">
      <alignment horizontal="left" vertical="top" wrapText="1"/>
    </xf>
    <xf numFmtId="0" fontId="24" fillId="9" borderId="1" xfId="0" applyFont="1" applyFill="1" applyBorder="1" applyAlignment="1">
      <alignment horizontal="center" vertical="center" wrapText="1"/>
    </xf>
    <xf numFmtId="166" fontId="23" fillId="9" borderId="1" xfId="0" applyNumberFormat="1" applyFont="1" applyFill="1" applyBorder="1" applyAlignment="1">
      <alignment horizontal="center" vertical="center" wrapText="1"/>
    </xf>
    <xf numFmtId="0" fontId="23" fillId="9" borderId="1" xfId="0" applyFont="1" applyFill="1" applyBorder="1" applyAlignment="1">
      <alignment horizontal="center" vertical="center" wrapText="1"/>
    </xf>
    <xf numFmtId="14" fontId="23" fillId="9" borderId="1" xfId="0" applyNumberFormat="1" applyFont="1" applyFill="1" applyBorder="1" applyAlignment="1">
      <alignment horizontal="center" vertical="center" wrapText="1"/>
    </xf>
    <xf numFmtId="1" fontId="23" fillId="9" borderId="1" xfId="0" applyNumberFormat="1" applyFont="1" applyFill="1" applyBorder="1" applyAlignment="1">
      <alignment horizontal="center" vertical="center" wrapText="1"/>
    </xf>
    <xf numFmtId="164" fontId="23" fillId="9" borderId="1" xfId="0" applyNumberFormat="1" applyFont="1" applyFill="1" applyBorder="1" applyAlignment="1">
      <alignment horizontal="center" vertical="center" wrapText="1"/>
    </xf>
    <xf numFmtId="0" fontId="23" fillId="9" borderId="1" xfId="0" applyFont="1" applyFill="1" applyBorder="1" applyAlignment="1">
      <alignment wrapText="1"/>
    </xf>
    <xf numFmtId="0" fontId="20" fillId="9" borderId="1" xfId="0" applyFont="1" applyFill="1" applyBorder="1" applyAlignment="1">
      <alignment horizontal="center" vertical="center" wrapText="1"/>
    </xf>
    <xf numFmtId="0" fontId="23" fillId="9" borderId="1" xfId="0" applyFont="1" applyFill="1" applyBorder="1" applyAlignment="1">
      <alignment horizontal="left" vertical="top" wrapText="1"/>
    </xf>
    <xf numFmtId="14" fontId="23" fillId="9" borderId="1" xfId="0" applyNumberFormat="1" applyFont="1" applyFill="1" applyBorder="1" applyAlignment="1">
      <alignment horizontal="left" vertical="top" wrapText="1"/>
    </xf>
    <xf numFmtId="0" fontId="23" fillId="9" borderId="1" xfId="0" applyFont="1" applyFill="1" applyBorder="1" applyAlignment="1">
      <alignment horizontal="center" vertical="center"/>
    </xf>
    <xf numFmtId="0" fontId="23" fillId="9" borderId="0" xfId="0" applyFont="1" applyFill="1" applyAlignment="1">
      <alignment horizontal="center" vertical="center"/>
    </xf>
    <xf numFmtId="166" fontId="23" fillId="9" borderId="6" xfId="0" applyNumberFormat="1" applyFont="1" applyFill="1" applyBorder="1" applyAlignment="1">
      <alignment horizontal="center" vertical="center" wrapText="1"/>
    </xf>
    <xf numFmtId="0" fontId="24" fillId="9" borderId="6" xfId="0" applyFont="1" applyFill="1" applyBorder="1" applyAlignment="1">
      <alignment horizontal="center" vertical="center" wrapText="1"/>
    </xf>
    <xf numFmtId="0" fontId="23" fillId="9" borderId="6" xfId="0" applyFont="1" applyFill="1" applyBorder="1" applyAlignment="1">
      <alignment horizontal="center" vertical="center" wrapText="1"/>
    </xf>
    <xf numFmtId="14" fontId="23" fillId="9" borderId="6" xfId="0" applyNumberFormat="1" applyFont="1" applyFill="1" applyBorder="1" applyAlignment="1">
      <alignment horizontal="center" vertical="center" wrapText="1"/>
    </xf>
    <xf numFmtId="1" fontId="23" fillId="9" borderId="6" xfId="0" applyNumberFormat="1" applyFont="1" applyFill="1" applyBorder="1" applyAlignment="1">
      <alignment horizontal="center" vertical="center" wrapText="1"/>
    </xf>
    <xf numFmtId="164" fontId="23" fillId="9" borderId="6" xfId="0" applyNumberFormat="1" applyFont="1" applyFill="1" applyBorder="1" applyAlignment="1">
      <alignment horizontal="center" vertical="center" wrapText="1"/>
    </xf>
    <xf numFmtId="166" fontId="23" fillId="9" borderId="12" xfId="0" applyNumberFormat="1" applyFont="1" applyFill="1" applyBorder="1" applyAlignment="1">
      <alignment horizontal="center" vertical="center" wrapText="1"/>
    </xf>
    <xf numFmtId="0" fontId="24" fillId="9" borderId="12" xfId="0" applyFont="1" applyFill="1" applyBorder="1" applyAlignment="1">
      <alignment horizontal="center" vertical="center" wrapText="1"/>
    </xf>
    <xf numFmtId="0" fontId="23" fillId="9" borderId="12" xfId="0" applyFont="1" applyFill="1" applyBorder="1" applyAlignment="1">
      <alignment horizontal="center" vertical="center" wrapText="1"/>
    </xf>
    <xf numFmtId="14" fontId="23" fillId="9" borderId="12" xfId="0" applyNumberFormat="1" applyFont="1" applyFill="1" applyBorder="1" applyAlignment="1">
      <alignment horizontal="center" vertical="center" wrapText="1"/>
    </xf>
    <xf numFmtId="1" fontId="23" fillId="9" borderId="12" xfId="0" applyNumberFormat="1" applyFont="1" applyFill="1" applyBorder="1" applyAlignment="1">
      <alignment horizontal="center" vertical="center" wrapText="1"/>
    </xf>
    <xf numFmtId="164" fontId="23" fillId="9" borderId="12" xfId="0" applyNumberFormat="1" applyFont="1" applyFill="1" applyBorder="1" applyAlignment="1">
      <alignment horizontal="center" vertical="center" wrapText="1"/>
    </xf>
    <xf numFmtId="0" fontId="20" fillId="9" borderId="12" xfId="0" applyFont="1" applyFill="1" applyBorder="1" applyAlignment="1">
      <alignment horizontal="center" vertical="center" wrapText="1"/>
    </xf>
    <xf numFmtId="14" fontId="23" fillId="9" borderId="12" xfId="0" applyNumberFormat="1" applyFont="1" applyFill="1" applyBorder="1" applyAlignment="1">
      <alignment horizontal="left" vertical="top" wrapText="1"/>
    </xf>
    <xf numFmtId="0" fontId="23" fillId="9" borderId="12" xfId="0" applyFont="1" applyFill="1" applyBorder="1" applyAlignment="1">
      <alignment horizontal="center" vertical="center"/>
    </xf>
    <xf numFmtId="0" fontId="19" fillId="9" borderId="1" xfId="0" applyFont="1" applyFill="1" applyBorder="1" applyAlignment="1">
      <alignment horizontal="center" vertical="center" wrapText="1"/>
    </xf>
    <xf numFmtId="0" fontId="25" fillId="9" borderId="0" xfId="0" applyFont="1" applyFill="1" applyAlignment="1">
      <alignment horizontal="center" vertical="center" wrapText="1"/>
    </xf>
    <xf numFmtId="14" fontId="20" fillId="9" borderId="6" xfId="0" applyNumberFormat="1" applyFont="1" applyFill="1" applyBorder="1" applyAlignment="1">
      <alignment horizontal="left" vertical="top" wrapText="1"/>
    </xf>
    <xf numFmtId="0" fontId="0" fillId="9" borderId="0" xfId="0" applyFill="1" applyAlignment="1">
      <alignment horizontal="left" vertical="top" wrapText="1"/>
    </xf>
    <xf numFmtId="0" fontId="23" fillId="9" borderId="7" xfId="0" applyFont="1" applyFill="1" applyBorder="1" applyAlignment="1">
      <alignment horizontal="center" vertical="center"/>
    </xf>
    <xf numFmtId="14" fontId="23" fillId="9" borderId="6" xfId="0" applyNumberFormat="1" applyFont="1" applyFill="1" applyBorder="1" applyAlignment="1">
      <alignment horizontal="left" vertical="top" wrapText="1"/>
    </xf>
    <xf numFmtId="0" fontId="23" fillId="9" borderId="6" xfId="0" applyFont="1" applyFill="1" applyBorder="1" applyAlignment="1">
      <alignment horizontal="center" wrapText="1"/>
    </xf>
    <xf numFmtId="0" fontId="18" fillId="9" borderId="0" xfId="0" applyFont="1" applyFill="1" applyAlignment="1">
      <alignment horizontal="center" vertical="center"/>
    </xf>
    <xf numFmtId="0" fontId="24" fillId="9" borderId="13" xfId="0" applyFont="1" applyFill="1" applyBorder="1" applyAlignment="1">
      <alignment horizontal="center" vertical="center" wrapText="1"/>
    </xf>
    <xf numFmtId="166" fontId="23" fillId="9" borderId="13" xfId="0" applyNumberFormat="1" applyFont="1" applyFill="1" applyBorder="1" applyAlignment="1">
      <alignment horizontal="center" vertical="center" wrapText="1"/>
    </xf>
    <xf numFmtId="0" fontId="23" fillId="9" borderId="13" xfId="0" applyFont="1" applyFill="1" applyBorder="1" applyAlignment="1">
      <alignment horizontal="center" vertical="center" wrapText="1"/>
    </xf>
    <xf numFmtId="14" fontId="23" fillId="9" borderId="13" xfId="0" applyNumberFormat="1" applyFont="1" applyFill="1" applyBorder="1" applyAlignment="1">
      <alignment horizontal="center" vertical="center" wrapText="1"/>
    </xf>
    <xf numFmtId="1" fontId="23" fillId="9" borderId="13" xfId="0" applyNumberFormat="1" applyFont="1" applyFill="1" applyBorder="1" applyAlignment="1">
      <alignment horizontal="center" vertical="center" wrapText="1"/>
    </xf>
    <xf numFmtId="164" fontId="23" fillId="9" borderId="13" xfId="0" applyNumberFormat="1" applyFont="1" applyFill="1" applyBorder="1" applyAlignment="1">
      <alignment horizontal="center" vertical="center" wrapText="1"/>
    </xf>
    <xf numFmtId="0" fontId="19" fillId="9" borderId="13" xfId="0" applyFont="1" applyFill="1" applyBorder="1" applyAlignment="1">
      <alignment horizontal="center" vertical="center" wrapText="1"/>
    </xf>
    <xf numFmtId="0" fontId="23" fillId="9" borderId="13" xfId="0" applyFont="1" applyFill="1" applyBorder="1" applyAlignment="1">
      <alignment horizontal="center" vertical="center"/>
    </xf>
    <xf numFmtId="14" fontId="23" fillId="9" borderId="13" xfId="0" applyNumberFormat="1" applyFont="1" applyFill="1" applyBorder="1" applyAlignment="1">
      <alignment horizontal="left" vertical="top" wrapText="1"/>
    </xf>
    <xf numFmtId="0" fontId="0" fillId="9" borderId="1" xfId="0" applyFill="1" applyBorder="1"/>
    <xf numFmtId="166"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6" fillId="9" borderId="1" xfId="0" applyFont="1" applyFill="1" applyBorder="1" applyAlignment="1">
      <alignment horizontal="center" vertical="center"/>
    </xf>
    <xf numFmtId="0" fontId="0" fillId="9" borderId="1" xfId="0" applyFill="1" applyBorder="1" applyAlignment="1">
      <alignment horizontal="center" vertical="center" wrapText="1"/>
    </xf>
    <xf numFmtId="0" fontId="27" fillId="9" borderId="1" xfId="0" applyFont="1" applyFill="1" applyBorder="1" applyAlignment="1">
      <alignment horizontal="center" vertical="center" wrapText="1"/>
    </xf>
    <xf numFmtId="14" fontId="6" fillId="9" borderId="1" xfId="0" applyNumberFormat="1" applyFont="1" applyFill="1" applyBorder="1" applyAlignment="1">
      <alignment horizontal="center" vertical="center"/>
    </xf>
    <xf numFmtId="4" fontId="0" fillId="9" borderId="1" xfId="0" applyNumberFormat="1" applyFill="1" applyBorder="1" applyAlignment="1">
      <alignment horizontal="center" vertical="center"/>
    </xf>
    <xf numFmtId="14" fontId="0" fillId="9" borderId="1" xfId="0" applyNumberFormat="1" applyFill="1" applyBorder="1" applyAlignment="1">
      <alignment horizontal="center" vertical="center"/>
    </xf>
    <xf numFmtId="0" fontId="27" fillId="9" borderId="1" xfId="0" applyFont="1" applyFill="1" applyBorder="1" applyAlignment="1">
      <alignment horizontal="center" vertical="center"/>
    </xf>
    <xf numFmtId="0" fontId="8" fillId="9" borderId="1" xfId="0" applyFont="1" applyFill="1" applyBorder="1" applyAlignment="1">
      <alignment horizontal="center" vertical="center" wrapText="1"/>
    </xf>
    <xf numFmtId="0" fontId="0" fillId="9" borderId="1" xfId="0" applyFill="1" applyBorder="1" applyAlignment="1">
      <alignment horizontal="left" vertical="top" wrapText="1"/>
    </xf>
    <xf numFmtId="0" fontId="0" fillId="4" borderId="0" xfId="0" applyFill="1"/>
    <xf numFmtId="0" fontId="0" fillId="6" borderId="0" xfId="0" applyFill="1"/>
    <xf numFmtId="0" fontId="0" fillId="8" borderId="0" xfId="0" applyFill="1" applyAlignment="1">
      <alignment horizontal="left" vertical="top" wrapText="1"/>
    </xf>
    <xf numFmtId="14" fontId="23" fillId="8" borderId="1" xfId="0" applyNumberFormat="1" applyFont="1" applyFill="1" applyBorder="1" applyAlignment="1">
      <alignment horizontal="center" vertical="center" wrapText="1"/>
    </xf>
    <xf numFmtId="166" fontId="16" fillId="4" borderId="0" xfId="0" applyNumberFormat="1" applyFont="1" applyFill="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0" xfId="0" applyFont="1" applyAlignment="1">
      <alignment horizontal="center" vertical="center" wrapText="1"/>
    </xf>
    <xf numFmtId="0" fontId="13" fillId="0" borderId="5"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10" xfId="0" applyFont="1" applyBorder="1" applyAlignment="1">
      <alignment horizontal="center" vertical="center" wrapText="1"/>
    </xf>
  </cellXfs>
  <cellStyles count="7">
    <cellStyle name="Millares [0]" xfId="1" builtinId="6"/>
    <cellStyle name="Millares [0] 2" xfId="5" xr:uid="{58A41C8F-31FD-4B1B-8882-6C243721DD80}"/>
    <cellStyle name="Millares 2" xfId="3" xr:uid="{00000000-0005-0000-0000-000001000000}"/>
    <cellStyle name="Millares 2 2" xfId="6" xr:uid="{E7273A8F-6978-4094-A4C6-4DB6A1A73B3B}"/>
    <cellStyle name="Neutral 2" xfId="4" xr:uid="{EA224807-C6D1-4F87-A34E-308A4581203F}"/>
    <cellStyle name="Normal" xfId="0" builtinId="0"/>
    <cellStyle name="Normal 2" xfId="2" xr:uid="{00000000-0005-0000-0000-00000400000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EA9EB"/>
      <color rgb="FFDE78DE"/>
      <color rgb="FFF7A5A5"/>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503180</xdr:colOff>
      <xdr:row>0</xdr:row>
      <xdr:rowOff>0</xdr:rowOff>
    </xdr:from>
    <xdr:to>
      <xdr:col>3</xdr:col>
      <xdr:colOff>475938</xdr:colOff>
      <xdr:row>1</xdr:row>
      <xdr:rowOff>330554</xdr:rowOff>
    </xdr:to>
    <xdr:pic>
      <xdr:nvPicPr>
        <xdr:cNvPr id="2" name="Imagen 1">
          <a:extLst>
            <a:ext uri="{FF2B5EF4-FFF2-40B4-BE49-F238E27FC236}">
              <a16:creationId xmlns:a16="http://schemas.microsoft.com/office/drawing/2014/main" id="{FAA439C3-2C0E-490E-B26A-092E78E9AD4B}"/>
            </a:ext>
          </a:extLst>
        </xdr:cNvPr>
        <xdr:cNvPicPr>
          <a:picLocks noChangeAspect="1"/>
        </xdr:cNvPicPr>
      </xdr:nvPicPr>
      <xdr:blipFill>
        <a:blip xmlns:r="http://schemas.openxmlformats.org/officeDocument/2006/relationships" r:embed="rId1"/>
        <a:stretch>
          <a:fillRect/>
        </a:stretch>
      </xdr:blipFill>
      <xdr:spPr>
        <a:xfrm>
          <a:off x="867371" y="0"/>
          <a:ext cx="2354320" cy="68921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8895C-D395-49CF-8460-4D9067170B1E}">
  <sheetPr>
    <tabColor rgb="FF92D050"/>
  </sheetPr>
  <dimension ref="A1:X85"/>
  <sheetViews>
    <sheetView tabSelected="1" topLeftCell="F1" zoomScale="23" zoomScaleNormal="23" workbookViewId="0">
      <pane ySplit="3" topLeftCell="A4" activePane="bottomLeft" state="frozen"/>
      <selection pane="bottomLeft" activeCell="T10" sqref="T10"/>
    </sheetView>
  </sheetViews>
  <sheetFormatPr baseColWidth="10" defaultColWidth="11.42578125" defaultRowHeight="15" x14ac:dyDescent="0.25"/>
  <cols>
    <col min="1" max="1" width="5.140625" customWidth="1"/>
    <col min="2" max="2" width="15.28515625" style="5" customWidth="1"/>
    <col min="3" max="3" width="18.7109375" customWidth="1"/>
    <col min="4" max="4" width="26.85546875" customWidth="1"/>
    <col min="5" max="5" width="12.42578125" style="2" customWidth="1"/>
    <col min="6" max="6" width="12.85546875" style="2" customWidth="1"/>
    <col min="7" max="7" width="9.140625" style="2" customWidth="1"/>
    <col min="8" max="8" width="16.42578125" customWidth="1"/>
    <col min="9" max="9" width="11.140625" customWidth="1"/>
    <col min="10" max="10" width="14.42578125" customWidth="1"/>
    <col min="11" max="11" width="14.140625" customWidth="1"/>
    <col min="12" max="12" width="16.140625" style="1" customWidth="1"/>
    <col min="13" max="13" width="28.5703125" customWidth="1"/>
    <col min="14" max="14" width="17.28515625" customWidth="1"/>
    <col min="15" max="15" width="15.5703125" customWidth="1"/>
    <col min="16" max="16" width="14.7109375" customWidth="1"/>
    <col min="17" max="17" width="15.85546875" customWidth="1"/>
    <col min="18" max="18" width="15.28515625" customWidth="1"/>
    <col min="19" max="19" width="15.85546875" style="4" customWidth="1"/>
    <col min="20" max="20" width="19" customWidth="1"/>
    <col min="21" max="21" width="37.85546875" customWidth="1"/>
    <col min="22" max="22" width="14.5703125" customWidth="1"/>
  </cols>
  <sheetData>
    <row r="1" spans="1:23" ht="27.95" customHeight="1" x14ac:dyDescent="0.25">
      <c r="A1" s="140"/>
      <c r="B1" s="141"/>
      <c r="C1" s="141"/>
      <c r="D1" s="141"/>
      <c r="E1" s="142"/>
      <c r="F1" s="146" t="s">
        <v>0</v>
      </c>
      <c r="G1" s="147"/>
      <c r="H1" s="147"/>
      <c r="I1" s="147"/>
      <c r="J1" s="147"/>
      <c r="K1" s="147"/>
      <c r="L1" s="147"/>
      <c r="M1" s="147"/>
      <c r="N1" s="147"/>
      <c r="O1" s="147"/>
      <c r="P1" s="147"/>
      <c r="Q1" s="147"/>
      <c r="R1" s="148"/>
      <c r="S1" s="149" t="s">
        <v>1</v>
      </c>
      <c r="T1" s="150"/>
      <c r="U1" s="150"/>
      <c r="V1" s="151"/>
    </row>
    <row r="2" spans="1:23" ht="27.95" customHeight="1" x14ac:dyDescent="0.25">
      <c r="A2" s="143"/>
      <c r="B2" s="144"/>
      <c r="C2" s="144"/>
      <c r="D2" s="144"/>
      <c r="E2" s="145"/>
      <c r="F2" s="152" t="s">
        <v>2</v>
      </c>
      <c r="G2" s="153"/>
      <c r="H2" s="153"/>
      <c r="I2" s="153"/>
      <c r="J2" s="153"/>
      <c r="K2" s="153"/>
      <c r="L2" s="153"/>
      <c r="M2" s="153"/>
      <c r="N2" s="153"/>
      <c r="O2" s="153"/>
      <c r="P2" s="153"/>
      <c r="Q2" s="153"/>
      <c r="R2" s="154"/>
      <c r="S2" s="146" t="s">
        <v>3</v>
      </c>
      <c r="T2" s="147"/>
      <c r="U2" s="147"/>
      <c r="V2" s="148"/>
    </row>
    <row r="3" spans="1:23" s="7" customFormat="1" ht="99" customHeight="1" x14ac:dyDescent="0.25">
      <c r="A3" s="13" t="s">
        <v>4</v>
      </c>
      <c r="B3" s="14" t="s">
        <v>5</v>
      </c>
      <c r="C3" s="13" t="s">
        <v>6</v>
      </c>
      <c r="D3" s="15" t="s">
        <v>7</v>
      </c>
      <c r="E3" s="16" t="s">
        <v>8</v>
      </c>
      <c r="F3" s="17" t="s">
        <v>9</v>
      </c>
      <c r="G3" s="13" t="s">
        <v>10</v>
      </c>
      <c r="H3" s="18" t="s">
        <v>11</v>
      </c>
      <c r="I3" s="13" t="s">
        <v>12</v>
      </c>
      <c r="J3" s="13" t="s">
        <v>13</v>
      </c>
      <c r="K3" s="13" t="s">
        <v>14</v>
      </c>
      <c r="L3" s="13" t="s">
        <v>15</v>
      </c>
      <c r="M3" s="13" t="s">
        <v>16</v>
      </c>
      <c r="N3" s="13" t="s">
        <v>17</v>
      </c>
      <c r="O3" s="13" t="s">
        <v>18</v>
      </c>
      <c r="P3" s="13" t="s">
        <v>19</v>
      </c>
      <c r="Q3" s="13" t="s">
        <v>20</v>
      </c>
      <c r="R3" s="13" t="s">
        <v>21</v>
      </c>
      <c r="S3" s="13" t="s">
        <v>22</v>
      </c>
      <c r="T3" s="18" t="s">
        <v>23</v>
      </c>
      <c r="U3" s="13" t="s">
        <v>24</v>
      </c>
      <c r="V3" s="13" t="s">
        <v>25</v>
      </c>
    </row>
    <row r="4" spans="1:23" ht="176.25" customHeight="1" x14ac:dyDescent="0.25">
      <c r="A4" s="21">
        <v>1</v>
      </c>
      <c r="B4" s="22">
        <v>1122783274</v>
      </c>
      <c r="C4" s="21" t="s">
        <v>26</v>
      </c>
      <c r="D4" s="23" t="s">
        <v>27</v>
      </c>
      <c r="E4" s="24">
        <v>44977</v>
      </c>
      <c r="F4" s="25">
        <v>500000959</v>
      </c>
      <c r="G4" s="26">
        <v>5813</v>
      </c>
      <c r="H4" s="27">
        <v>942439</v>
      </c>
      <c r="I4" s="27" t="s">
        <v>28</v>
      </c>
      <c r="J4" s="28">
        <v>45334</v>
      </c>
      <c r="K4" s="27" t="s">
        <v>29</v>
      </c>
      <c r="L4" s="29" t="s">
        <v>30</v>
      </c>
      <c r="M4" s="28" t="s">
        <v>31</v>
      </c>
      <c r="N4" s="28">
        <v>45351</v>
      </c>
      <c r="O4" s="28" t="s">
        <v>32</v>
      </c>
      <c r="P4" s="30">
        <v>45824</v>
      </c>
      <c r="Q4" s="31"/>
      <c r="R4" s="32" t="s">
        <v>33</v>
      </c>
      <c r="S4" s="23" t="s">
        <v>34</v>
      </c>
      <c r="T4" s="33">
        <v>0</v>
      </c>
      <c r="U4" s="34" t="s">
        <v>35</v>
      </c>
      <c r="V4" s="35" t="s">
        <v>36</v>
      </c>
    </row>
    <row r="5" spans="1:23" ht="161.25" customHeight="1" x14ac:dyDescent="0.25">
      <c r="A5" s="21">
        <v>2</v>
      </c>
      <c r="B5" s="36">
        <v>1125413000</v>
      </c>
      <c r="C5" s="37" t="s">
        <v>37</v>
      </c>
      <c r="D5" s="38" t="s">
        <v>38</v>
      </c>
      <c r="E5" s="24">
        <v>44895</v>
      </c>
      <c r="F5" s="39" t="s">
        <v>39</v>
      </c>
      <c r="G5" s="26">
        <v>7426</v>
      </c>
      <c r="H5" s="27">
        <v>5710158</v>
      </c>
      <c r="I5" s="27" t="s">
        <v>28</v>
      </c>
      <c r="J5" s="28">
        <v>45803</v>
      </c>
      <c r="K5" s="27" t="s">
        <v>29</v>
      </c>
      <c r="L5" s="29" t="s">
        <v>40</v>
      </c>
      <c r="M5" s="28" t="s">
        <v>41</v>
      </c>
      <c r="N5" s="28">
        <v>45848</v>
      </c>
      <c r="O5" s="40">
        <v>45910</v>
      </c>
      <c r="P5" s="30">
        <v>45973</v>
      </c>
      <c r="Q5" s="28"/>
      <c r="R5" s="28" t="s">
        <v>42</v>
      </c>
      <c r="S5" s="23" t="s">
        <v>43</v>
      </c>
      <c r="T5" s="33">
        <v>0</v>
      </c>
      <c r="U5" s="34" t="s">
        <v>475</v>
      </c>
      <c r="V5" s="23" t="s">
        <v>44</v>
      </c>
      <c r="W5" s="136"/>
    </row>
    <row r="6" spans="1:23" ht="168" customHeight="1" x14ac:dyDescent="0.25">
      <c r="A6" s="21">
        <v>3</v>
      </c>
      <c r="B6" s="22">
        <v>18127111</v>
      </c>
      <c r="C6" s="21" t="s">
        <v>45</v>
      </c>
      <c r="D6" s="23"/>
      <c r="E6" s="41">
        <v>44895</v>
      </c>
      <c r="F6" s="42">
        <v>500001575</v>
      </c>
      <c r="G6" s="26">
        <v>6553</v>
      </c>
      <c r="H6" s="27">
        <v>7545249</v>
      </c>
      <c r="I6" s="27" t="s">
        <v>28</v>
      </c>
      <c r="J6" s="28">
        <v>45420</v>
      </c>
      <c r="K6" s="27" t="s">
        <v>46</v>
      </c>
      <c r="L6" s="29" t="s">
        <v>47</v>
      </c>
      <c r="M6" s="28" t="s">
        <v>48</v>
      </c>
      <c r="N6" s="28">
        <v>45433</v>
      </c>
      <c r="O6" s="28">
        <v>45475</v>
      </c>
      <c r="P6" s="28">
        <v>45558</v>
      </c>
      <c r="Q6" s="32"/>
      <c r="R6" s="28" t="s">
        <v>49</v>
      </c>
      <c r="S6" s="23" t="s">
        <v>43</v>
      </c>
      <c r="T6" s="33">
        <v>0</v>
      </c>
      <c r="U6" s="43" t="s">
        <v>474</v>
      </c>
      <c r="V6" s="35" t="s">
        <v>44</v>
      </c>
      <c r="W6" s="136"/>
    </row>
    <row r="7" spans="1:23" ht="183.75" customHeight="1" x14ac:dyDescent="0.25">
      <c r="A7" s="21">
        <v>4</v>
      </c>
      <c r="B7" s="22">
        <v>18125130</v>
      </c>
      <c r="C7" s="44" t="s">
        <v>50</v>
      </c>
      <c r="D7" s="23" t="s">
        <v>51</v>
      </c>
      <c r="E7" s="41">
        <v>45218</v>
      </c>
      <c r="F7" s="45">
        <v>500002114</v>
      </c>
      <c r="G7" s="26">
        <v>8138</v>
      </c>
      <c r="H7" s="27">
        <v>4875823</v>
      </c>
      <c r="I7" s="27" t="s">
        <v>28</v>
      </c>
      <c r="J7" s="28">
        <v>45805</v>
      </c>
      <c r="K7" s="27" t="s">
        <v>46</v>
      </c>
      <c r="L7" s="29" t="s">
        <v>52</v>
      </c>
      <c r="M7" s="46" t="s">
        <v>53</v>
      </c>
      <c r="N7" s="28">
        <v>45818</v>
      </c>
      <c r="O7" s="28" t="s">
        <v>54</v>
      </c>
      <c r="P7" s="28"/>
      <c r="Q7" s="32"/>
      <c r="R7" s="32" t="s">
        <v>55</v>
      </c>
      <c r="S7" s="23" t="s">
        <v>56</v>
      </c>
      <c r="T7" s="33">
        <v>400000</v>
      </c>
      <c r="U7" s="43" t="s">
        <v>491</v>
      </c>
      <c r="V7" s="35" t="s">
        <v>44</v>
      </c>
      <c r="W7" s="136"/>
    </row>
    <row r="8" spans="1:23" ht="183.75" customHeight="1" x14ac:dyDescent="0.25">
      <c r="A8" s="21">
        <v>5</v>
      </c>
      <c r="B8" s="22">
        <v>97425980</v>
      </c>
      <c r="C8" s="44" t="s">
        <v>57</v>
      </c>
      <c r="D8" s="23" t="s">
        <v>58</v>
      </c>
      <c r="E8" s="41">
        <v>45936</v>
      </c>
      <c r="F8" s="45">
        <v>300000262</v>
      </c>
      <c r="G8" s="26">
        <v>10947</v>
      </c>
      <c r="H8" s="27">
        <v>2066840</v>
      </c>
      <c r="I8" s="27" t="s">
        <v>28</v>
      </c>
      <c r="J8" s="28">
        <v>45996</v>
      </c>
      <c r="K8" s="27" t="s">
        <v>46</v>
      </c>
      <c r="L8" s="29" t="s">
        <v>59</v>
      </c>
      <c r="M8" s="28" t="s">
        <v>60</v>
      </c>
      <c r="N8" s="28">
        <v>46003</v>
      </c>
      <c r="O8" s="28"/>
      <c r="P8" s="28"/>
      <c r="Q8" s="32"/>
      <c r="R8" s="32"/>
      <c r="S8" s="23" t="s">
        <v>61</v>
      </c>
      <c r="T8" s="33">
        <v>0</v>
      </c>
      <c r="U8" s="47" t="s">
        <v>62</v>
      </c>
      <c r="V8" s="35" t="s">
        <v>44</v>
      </c>
    </row>
    <row r="9" spans="1:23" ht="222.75" customHeight="1" x14ac:dyDescent="0.25">
      <c r="A9" s="21">
        <v>6</v>
      </c>
      <c r="B9" s="22">
        <v>18103523</v>
      </c>
      <c r="C9" s="44" t="s">
        <v>63</v>
      </c>
      <c r="D9" s="23" t="s">
        <v>64</v>
      </c>
      <c r="E9" s="41">
        <v>44977</v>
      </c>
      <c r="F9" s="25" t="s">
        <v>65</v>
      </c>
      <c r="G9" s="26">
        <v>6658</v>
      </c>
      <c r="H9" s="27">
        <v>0</v>
      </c>
      <c r="I9" s="27" t="s">
        <v>66</v>
      </c>
      <c r="J9" s="28">
        <v>45334</v>
      </c>
      <c r="K9" s="27" t="s">
        <v>67</v>
      </c>
      <c r="L9" s="29" t="s">
        <v>68</v>
      </c>
      <c r="M9" s="46" t="s">
        <v>69</v>
      </c>
      <c r="N9" s="28">
        <v>45387</v>
      </c>
      <c r="O9" s="32" t="s">
        <v>70</v>
      </c>
      <c r="P9" s="30"/>
      <c r="Q9" s="32"/>
      <c r="R9" s="32" t="s">
        <v>71</v>
      </c>
      <c r="S9" s="23" t="s">
        <v>72</v>
      </c>
      <c r="T9" s="33">
        <v>0</v>
      </c>
      <c r="U9" s="34" t="s">
        <v>73</v>
      </c>
      <c r="V9" s="35" t="s">
        <v>36</v>
      </c>
    </row>
    <row r="10" spans="1:23" ht="291" customHeight="1" x14ac:dyDescent="0.25">
      <c r="A10" s="21">
        <v>7</v>
      </c>
      <c r="B10" s="35">
        <v>1127070448</v>
      </c>
      <c r="C10" s="48" t="s">
        <v>74</v>
      </c>
      <c r="D10" s="49" t="s">
        <v>75</v>
      </c>
      <c r="E10" s="50">
        <v>44784</v>
      </c>
      <c r="F10" s="51" t="s">
        <v>76</v>
      </c>
      <c r="G10" s="26">
        <v>7036</v>
      </c>
      <c r="H10" s="27">
        <v>7458754</v>
      </c>
      <c r="I10" s="27" t="s">
        <v>66</v>
      </c>
      <c r="J10" s="28">
        <v>45317</v>
      </c>
      <c r="K10" s="27" t="s">
        <v>77</v>
      </c>
      <c r="L10" s="29" t="s">
        <v>78</v>
      </c>
      <c r="M10" s="28" t="s">
        <v>79</v>
      </c>
      <c r="N10" s="28">
        <v>45329</v>
      </c>
      <c r="O10" s="32" t="s">
        <v>80</v>
      </c>
      <c r="P10" s="30">
        <v>45537</v>
      </c>
      <c r="Q10" s="32">
        <v>45635</v>
      </c>
      <c r="R10" s="32" t="s">
        <v>81</v>
      </c>
      <c r="S10" s="23" t="s">
        <v>82</v>
      </c>
      <c r="T10" s="33">
        <v>0</v>
      </c>
      <c r="U10" s="34" t="s">
        <v>497</v>
      </c>
      <c r="V10" s="23" t="s">
        <v>36</v>
      </c>
      <c r="W10" s="136"/>
    </row>
    <row r="11" spans="1:23" ht="171" customHeight="1" x14ac:dyDescent="0.25">
      <c r="A11" s="21">
        <v>8</v>
      </c>
      <c r="B11" s="52">
        <v>40590152</v>
      </c>
      <c r="C11" s="21" t="s">
        <v>83</v>
      </c>
      <c r="D11" s="35" t="s">
        <v>84</v>
      </c>
      <c r="E11" s="53">
        <v>44977</v>
      </c>
      <c r="F11" s="23">
        <v>900000698</v>
      </c>
      <c r="G11" s="54">
        <v>6731</v>
      </c>
      <c r="H11" s="27">
        <v>5106000</v>
      </c>
      <c r="I11" s="27" t="s">
        <v>66</v>
      </c>
      <c r="J11" s="53">
        <v>45768</v>
      </c>
      <c r="K11" s="23" t="s">
        <v>85</v>
      </c>
      <c r="L11" s="21" t="s">
        <v>86</v>
      </c>
      <c r="M11" s="55" t="s">
        <v>87</v>
      </c>
      <c r="N11" s="53">
        <v>45817</v>
      </c>
      <c r="O11" s="23" t="s">
        <v>88</v>
      </c>
      <c r="P11" s="23"/>
      <c r="Q11" s="23"/>
      <c r="R11" s="23"/>
      <c r="S11" s="23" t="s">
        <v>478</v>
      </c>
      <c r="T11" s="33">
        <v>0</v>
      </c>
      <c r="U11" s="34" t="s">
        <v>489</v>
      </c>
      <c r="V11" s="23" t="s">
        <v>36</v>
      </c>
      <c r="W11" s="136"/>
    </row>
    <row r="12" spans="1:23" ht="171.75" customHeight="1" x14ac:dyDescent="0.25">
      <c r="A12" s="21">
        <v>9</v>
      </c>
      <c r="B12" s="52">
        <v>1127071319</v>
      </c>
      <c r="C12" s="21" t="s">
        <v>90</v>
      </c>
      <c r="D12" s="35" t="s">
        <v>91</v>
      </c>
      <c r="E12" s="53">
        <v>44784</v>
      </c>
      <c r="F12" s="23">
        <v>900000560</v>
      </c>
      <c r="G12" s="54">
        <v>6624</v>
      </c>
      <c r="H12" s="27">
        <v>9234307</v>
      </c>
      <c r="I12" s="27" t="s">
        <v>66</v>
      </c>
      <c r="J12" s="53">
        <v>45768</v>
      </c>
      <c r="K12" s="23" t="s">
        <v>85</v>
      </c>
      <c r="L12" s="21" t="s">
        <v>92</v>
      </c>
      <c r="M12" s="55" t="s">
        <v>93</v>
      </c>
      <c r="N12" s="53">
        <v>45792</v>
      </c>
      <c r="O12" s="53">
        <v>45882</v>
      </c>
      <c r="P12" s="53">
        <v>45897</v>
      </c>
      <c r="Q12" s="23"/>
      <c r="R12" s="23" t="s">
        <v>94</v>
      </c>
      <c r="S12" s="23" t="s">
        <v>89</v>
      </c>
      <c r="T12" s="33">
        <v>3430273</v>
      </c>
      <c r="U12" s="34" t="s">
        <v>496</v>
      </c>
      <c r="V12" s="23" t="s">
        <v>36</v>
      </c>
      <c r="W12" s="136"/>
    </row>
    <row r="13" spans="1:23" ht="209.1" customHeight="1" x14ac:dyDescent="0.25">
      <c r="A13" s="21">
        <v>10</v>
      </c>
      <c r="B13" s="22">
        <v>69009675</v>
      </c>
      <c r="C13" s="21" t="s">
        <v>95</v>
      </c>
      <c r="D13" s="23" t="s">
        <v>96</v>
      </c>
      <c r="E13" s="41">
        <v>45936</v>
      </c>
      <c r="F13" s="56" t="s">
        <v>97</v>
      </c>
      <c r="G13" s="26">
        <v>10653</v>
      </c>
      <c r="H13" s="27">
        <v>8126875</v>
      </c>
      <c r="I13" s="27" t="s">
        <v>66</v>
      </c>
      <c r="J13" s="28">
        <v>45995</v>
      </c>
      <c r="K13" s="27" t="s">
        <v>77</v>
      </c>
      <c r="L13" s="29" t="s">
        <v>98</v>
      </c>
      <c r="M13" s="46" t="s">
        <v>99</v>
      </c>
      <c r="N13" s="28">
        <v>46007</v>
      </c>
      <c r="O13" s="32"/>
      <c r="P13" s="30"/>
      <c r="Q13" s="32"/>
      <c r="R13" s="32"/>
      <c r="S13" s="23" t="s">
        <v>100</v>
      </c>
      <c r="T13" s="33">
        <v>0</v>
      </c>
      <c r="U13" s="34" t="s">
        <v>101</v>
      </c>
      <c r="V13" s="35" t="s">
        <v>44</v>
      </c>
    </row>
    <row r="14" spans="1:23" ht="285.75" customHeight="1" x14ac:dyDescent="0.25">
      <c r="A14" s="21">
        <v>11</v>
      </c>
      <c r="B14" s="22">
        <v>1124857366</v>
      </c>
      <c r="C14" s="44" t="s">
        <v>102</v>
      </c>
      <c r="D14" s="57" t="s">
        <v>103</v>
      </c>
      <c r="E14" s="41">
        <v>44895</v>
      </c>
      <c r="F14" s="58">
        <v>900000509</v>
      </c>
      <c r="G14" s="59">
        <v>6059</v>
      </c>
      <c r="H14" s="27">
        <v>2063624</v>
      </c>
      <c r="I14" s="27" t="s">
        <v>104</v>
      </c>
      <c r="J14" s="30">
        <v>45463</v>
      </c>
      <c r="K14" s="28" t="s">
        <v>85</v>
      </c>
      <c r="L14" s="29" t="s">
        <v>105</v>
      </c>
      <c r="M14" s="46" t="s">
        <v>106</v>
      </c>
      <c r="N14" s="28">
        <v>45467</v>
      </c>
      <c r="O14" s="32">
        <v>45581</v>
      </c>
      <c r="P14" s="30">
        <v>45601</v>
      </c>
      <c r="Q14" s="32"/>
      <c r="R14" s="32" t="s">
        <v>107</v>
      </c>
      <c r="S14" s="23" t="s">
        <v>108</v>
      </c>
      <c r="T14" s="33">
        <v>0</v>
      </c>
      <c r="U14" s="43" t="s">
        <v>486</v>
      </c>
      <c r="V14" s="23" t="s">
        <v>44</v>
      </c>
      <c r="W14" s="136"/>
    </row>
    <row r="15" spans="1:23" ht="288" customHeight="1" x14ac:dyDescent="0.25">
      <c r="A15" s="21">
        <v>12</v>
      </c>
      <c r="B15" s="52">
        <v>69009407</v>
      </c>
      <c r="C15" s="21" t="s">
        <v>109</v>
      </c>
      <c r="D15" s="35" t="s">
        <v>110</v>
      </c>
      <c r="E15" s="53">
        <v>44895</v>
      </c>
      <c r="F15" s="23">
        <v>1000000406</v>
      </c>
      <c r="G15" s="54">
        <v>647</v>
      </c>
      <c r="H15" s="27">
        <v>7204334</v>
      </c>
      <c r="I15" s="27" t="s">
        <v>111</v>
      </c>
      <c r="J15" s="53">
        <v>45768</v>
      </c>
      <c r="K15" s="23" t="s">
        <v>85</v>
      </c>
      <c r="L15" s="21" t="s">
        <v>112</v>
      </c>
      <c r="M15" s="23" t="s">
        <v>113</v>
      </c>
      <c r="N15" s="53">
        <v>45779</v>
      </c>
      <c r="O15" s="23" t="s">
        <v>114</v>
      </c>
      <c r="P15" s="23"/>
      <c r="Q15" s="23"/>
      <c r="R15" s="23" t="s">
        <v>115</v>
      </c>
      <c r="S15" s="23" t="s">
        <v>116</v>
      </c>
      <c r="T15" s="33">
        <v>0</v>
      </c>
      <c r="U15" s="34" t="s">
        <v>490</v>
      </c>
      <c r="V15" s="23" t="s">
        <v>36</v>
      </c>
      <c r="W15" s="136"/>
    </row>
    <row r="16" spans="1:23" ht="243" customHeight="1" x14ac:dyDescent="0.25">
      <c r="A16" s="21">
        <v>13</v>
      </c>
      <c r="B16" s="35">
        <v>1123205302</v>
      </c>
      <c r="C16" s="44" t="s">
        <v>117</v>
      </c>
      <c r="D16" s="60" t="s">
        <v>118</v>
      </c>
      <c r="E16" s="50">
        <v>44784</v>
      </c>
      <c r="F16" s="51" t="s">
        <v>119</v>
      </c>
      <c r="G16" s="26">
        <v>3316</v>
      </c>
      <c r="H16" s="27">
        <v>7001000</v>
      </c>
      <c r="I16" s="27" t="s">
        <v>120</v>
      </c>
      <c r="J16" s="28">
        <v>45442</v>
      </c>
      <c r="K16" s="27" t="s">
        <v>46</v>
      </c>
      <c r="L16" s="29" t="s">
        <v>121</v>
      </c>
      <c r="M16" s="28" t="s">
        <v>466</v>
      </c>
      <c r="N16" s="28">
        <v>45516</v>
      </c>
      <c r="O16" s="32">
        <v>45600</v>
      </c>
      <c r="P16" s="30">
        <v>45614</v>
      </c>
      <c r="Q16" s="32">
        <v>45797</v>
      </c>
      <c r="R16" s="32" t="s">
        <v>122</v>
      </c>
      <c r="S16" s="23" t="s">
        <v>123</v>
      </c>
      <c r="T16" s="33">
        <v>0</v>
      </c>
      <c r="U16" s="34" t="s">
        <v>494</v>
      </c>
      <c r="V16" s="35" t="s">
        <v>44</v>
      </c>
      <c r="W16" s="136"/>
    </row>
    <row r="17" spans="1:23" ht="224.25" customHeight="1" x14ac:dyDescent="0.25">
      <c r="A17" s="21">
        <v>14</v>
      </c>
      <c r="B17" s="23">
        <v>10950804</v>
      </c>
      <c r="C17" s="21" t="s">
        <v>124</v>
      </c>
      <c r="D17" s="61"/>
      <c r="E17" s="50">
        <v>44784</v>
      </c>
      <c r="F17" s="25" t="s">
        <v>125</v>
      </c>
      <c r="G17" s="26">
        <v>2592</v>
      </c>
      <c r="H17" s="27">
        <v>2117270</v>
      </c>
      <c r="I17" s="27" t="s">
        <v>120</v>
      </c>
      <c r="J17" s="28">
        <v>45442</v>
      </c>
      <c r="K17" s="27" t="s">
        <v>46</v>
      </c>
      <c r="L17" s="29" t="s">
        <v>126</v>
      </c>
      <c r="M17" s="138" t="s">
        <v>471</v>
      </c>
      <c r="N17" s="28">
        <v>45516</v>
      </c>
      <c r="O17" s="32">
        <v>45636</v>
      </c>
      <c r="P17" s="30">
        <v>45674</v>
      </c>
      <c r="Q17" s="32">
        <v>45868</v>
      </c>
      <c r="R17" s="32" t="s">
        <v>127</v>
      </c>
      <c r="S17" s="23" t="s">
        <v>128</v>
      </c>
      <c r="T17" s="33" t="s">
        <v>472</v>
      </c>
      <c r="U17" s="34" t="s">
        <v>473</v>
      </c>
      <c r="V17" s="35" t="s">
        <v>44</v>
      </c>
      <c r="W17" s="136"/>
    </row>
    <row r="18" spans="1:23" ht="213" customHeight="1" x14ac:dyDescent="0.25">
      <c r="A18" s="21">
        <v>15</v>
      </c>
      <c r="B18" s="35">
        <v>22002020</v>
      </c>
      <c r="C18" s="48" t="s">
        <v>129</v>
      </c>
      <c r="D18" s="57" t="s">
        <v>130</v>
      </c>
      <c r="E18" s="50">
        <v>44784</v>
      </c>
      <c r="F18" s="25">
        <v>600000920</v>
      </c>
      <c r="G18" s="26">
        <v>2477</v>
      </c>
      <c r="H18" s="27">
        <v>3420601</v>
      </c>
      <c r="I18" s="27" t="s">
        <v>120</v>
      </c>
      <c r="J18" s="28">
        <v>45442</v>
      </c>
      <c r="K18" s="27" t="s">
        <v>46</v>
      </c>
      <c r="L18" s="29" t="s">
        <v>131</v>
      </c>
      <c r="M18" s="28" t="s">
        <v>132</v>
      </c>
      <c r="N18" s="28">
        <v>45516</v>
      </c>
      <c r="O18" s="32" t="s">
        <v>133</v>
      </c>
      <c r="P18" s="30">
        <v>45833</v>
      </c>
      <c r="Q18" s="32">
        <v>45908</v>
      </c>
      <c r="R18" s="32" t="s">
        <v>134</v>
      </c>
      <c r="S18" s="23" t="s">
        <v>128</v>
      </c>
      <c r="T18" s="33">
        <v>500000</v>
      </c>
      <c r="U18" s="34" t="s">
        <v>492</v>
      </c>
      <c r="V18" s="35" t="s">
        <v>44</v>
      </c>
      <c r="W18" s="136"/>
    </row>
    <row r="19" spans="1:23" ht="120" customHeight="1" x14ac:dyDescent="0.25">
      <c r="A19" s="21">
        <v>16</v>
      </c>
      <c r="B19" s="35">
        <v>1057585201</v>
      </c>
      <c r="C19" s="48" t="s">
        <v>135</v>
      </c>
      <c r="D19" s="62" t="s">
        <v>136</v>
      </c>
      <c r="E19" s="50">
        <v>45218</v>
      </c>
      <c r="F19" s="39" t="s">
        <v>137</v>
      </c>
      <c r="G19" s="26">
        <v>4131</v>
      </c>
      <c r="H19" s="27">
        <v>3793470</v>
      </c>
      <c r="I19" s="27" t="s">
        <v>120</v>
      </c>
      <c r="J19" s="28">
        <v>45790</v>
      </c>
      <c r="K19" s="27" t="s">
        <v>46</v>
      </c>
      <c r="L19" s="29" t="s">
        <v>138</v>
      </c>
      <c r="M19" s="28" t="s">
        <v>139</v>
      </c>
      <c r="N19" s="28">
        <v>45800</v>
      </c>
      <c r="O19" s="32" t="s">
        <v>140</v>
      </c>
      <c r="P19" s="30"/>
      <c r="Q19" s="32"/>
      <c r="R19" s="32" t="s">
        <v>141</v>
      </c>
      <c r="S19" s="23" t="s">
        <v>128</v>
      </c>
      <c r="T19" s="33">
        <v>0</v>
      </c>
      <c r="U19" s="34" t="s">
        <v>468</v>
      </c>
      <c r="V19" s="35" t="s">
        <v>44</v>
      </c>
      <c r="W19" s="136"/>
    </row>
    <row r="20" spans="1:23" ht="189" customHeight="1" x14ac:dyDescent="0.25">
      <c r="A20" s="21">
        <v>17</v>
      </c>
      <c r="B20" s="35">
        <v>1107092463</v>
      </c>
      <c r="C20" s="44" t="s">
        <v>142</v>
      </c>
      <c r="D20" s="63" t="s">
        <v>143</v>
      </c>
      <c r="E20" s="50">
        <v>44784</v>
      </c>
      <c r="F20" s="25">
        <v>600001199</v>
      </c>
      <c r="G20" s="26">
        <v>2969</v>
      </c>
      <c r="H20" s="27">
        <v>2515556</v>
      </c>
      <c r="I20" s="27" t="s">
        <v>120</v>
      </c>
      <c r="J20" s="28">
        <v>45373</v>
      </c>
      <c r="K20" s="27" t="s">
        <v>29</v>
      </c>
      <c r="L20" s="29" t="s">
        <v>144</v>
      </c>
      <c r="M20" s="28" t="s">
        <v>145</v>
      </c>
      <c r="N20" s="28">
        <v>45436</v>
      </c>
      <c r="O20" s="32" t="s">
        <v>146</v>
      </c>
      <c r="P20" s="30"/>
      <c r="Q20" s="32"/>
      <c r="R20" s="32" t="s">
        <v>115</v>
      </c>
      <c r="S20" s="23" t="s">
        <v>147</v>
      </c>
      <c r="T20" s="33">
        <v>0</v>
      </c>
      <c r="U20" s="137" t="s">
        <v>470</v>
      </c>
      <c r="V20" s="23" t="s">
        <v>44</v>
      </c>
      <c r="W20" s="136"/>
    </row>
    <row r="21" spans="1:23" ht="171" customHeight="1" x14ac:dyDescent="0.25">
      <c r="A21" s="21">
        <v>18</v>
      </c>
      <c r="B21" s="35">
        <v>1125409098</v>
      </c>
      <c r="C21" s="48" t="s">
        <v>148</v>
      </c>
      <c r="D21" s="60" t="s">
        <v>149</v>
      </c>
      <c r="E21" s="50">
        <v>44784</v>
      </c>
      <c r="F21" s="25" t="s">
        <v>150</v>
      </c>
      <c r="G21" s="26">
        <v>3271</v>
      </c>
      <c r="H21" s="27">
        <v>8628522</v>
      </c>
      <c r="I21" s="27" t="s">
        <v>120</v>
      </c>
      <c r="J21" s="28">
        <v>45442</v>
      </c>
      <c r="K21" s="27" t="s">
        <v>29</v>
      </c>
      <c r="L21" s="29" t="s">
        <v>151</v>
      </c>
      <c r="M21" s="28" t="s">
        <v>152</v>
      </c>
      <c r="N21" s="28">
        <v>45495</v>
      </c>
      <c r="O21" s="32"/>
      <c r="P21" s="30"/>
      <c r="Q21" s="22"/>
      <c r="R21" s="35"/>
      <c r="S21" s="23" t="s">
        <v>153</v>
      </c>
      <c r="T21" s="33">
        <v>0</v>
      </c>
      <c r="U21" s="34" t="s">
        <v>469</v>
      </c>
      <c r="V21" s="35" t="s">
        <v>44</v>
      </c>
      <c r="W21" s="136"/>
    </row>
    <row r="22" spans="1:23" ht="141" customHeight="1" x14ac:dyDescent="0.25">
      <c r="A22" s="21">
        <v>19</v>
      </c>
      <c r="B22" s="22">
        <v>1123201399</v>
      </c>
      <c r="C22" s="21" t="s">
        <v>154</v>
      </c>
      <c r="D22" s="23"/>
      <c r="E22" s="41">
        <v>44895</v>
      </c>
      <c r="F22" s="64">
        <v>600001564</v>
      </c>
      <c r="G22" s="26">
        <v>2628</v>
      </c>
      <c r="H22" s="27">
        <v>1500882</v>
      </c>
      <c r="I22" s="27" t="s">
        <v>120</v>
      </c>
      <c r="J22" s="28">
        <v>45442</v>
      </c>
      <c r="K22" s="27" t="s">
        <v>29</v>
      </c>
      <c r="L22" s="29" t="s">
        <v>155</v>
      </c>
      <c r="M22" s="28" t="s">
        <v>156</v>
      </c>
      <c r="N22" s="28">
        <v>45496</v>
      </c>
      <c r="O22" s="32">
        <v>45580</v>
      </c>
      <c r="P22" s="30">
        <v>45692</v>
      </c>
      <c r="Q22" s="32"/>
      <c r="R22" s="32" t="s">
        <v>115</v>
      </c>
      <c r="S22" s="23" t="s">
        <v>89</v>
      </c>
      <c r="T22" s="33">
        <v>0</v>
      </c>
      <c r="U22" s="34" t="s">
        <v>467</v>
      </c>
      <c r="V22" s="35" t="s">
        <v>36</v>
      </c>
      <c r="W22" s="136"/>
    </row>
    <row r="23" spans="1:23" ht="131.25" customHeight="1" x14ac:dyDescent="0.25">
      <c r="A23" s="21">
        <v>20</v>
      </c>
      <c r="B23" s="22">
        <v>1006844016</v>
      </c>
      <c r="C23" s="44" t="s">
        <v>157</v>
      </c>
      <c r="D23" s="65" t="s">
        <v>158</v>
      </c>
      <c r="E23" s="41">
        <v>45218</v>
      </c>
      <c r="F23" s="56" t="s">
        <v>159</v>
      </c>
      <c r="G23" s="26">
        <v>3480</v>
      </c>
      <c r="H23" s="27">
        <v>5492059</v>
      </c>
      <c r="I23" s="27" t="s">
        <v>120</v>
      </c>
      <c r="J23" s="28">
        <v>45790</v>
      </c>
      <c r="K23" s="27" t="s">
        <v>29</v>
      </c>
      <c r="L23" s="29" t="s">
        <v>160</v>
      </c>
      <c r="M23" s="28" t="s">
        <v>161</v>
      </c>
      <c r="N23" s="28">
        <v>45835</v>
      </c>
      <c r="O23" s="32"/>
      <c r="P23" s="30"/>
      <c r="Q23" s="32"/>
      <c r="R23" s="32"/>
      <c r="S23" s="23" t="s">
        <v>89</v>
      </c>
      <c r="T23" s="33">
        <v>0</v>
      </c>
      <c r="U23" s="66" t="s">
        <v>162</v>
      </c>
      <c r="V23" s="35" t="s">
        <v>44</v>
      </c>
      <c r="W23" s="136"/>
    </row>
    <row r="24" spans="1:23" ht="121.5" customHeight="1" x14ac:dyDescent="0.25">
      <c r="A24" s="21">
        <v>21</v>
      </c>
      <c r="B24" s="22">
        <v>1123317104</v>
      </c>
      <c r="C24" s="44" t="s">
        <v>163</v>
      </c>
      <c r="D24" s="65"/>
      <c r="E24" s="41">
        <v>44895</v>
      </c>
      <c r="F24" s="56" t="s">
        <v>164</v>
      </c>
      <c r="G24" s="26">
        <v>2648</v>
      </c>
      <c r="H24" s="27">
        <v>3504545</v>
      </c>
      <c r="I24" s="27" t="s">
        <v>120</v>
      </c>
      <c r="J24" s="28">
        <v>45790</v>
      </c>
      <c r="K24" s="27" t="s">
        <v>29</v>
      </c>
      <c r="L24" s="29" t="s">
        <v>165</v>
      </c>
      <c r="M24" s="46" t="s">
        <v>166</v>
      </c>
      <c r="N24" s="28">
        <v>45842</v>
      </c>
      <c r="O24" s="32"/>
      <c r="P24" s="30">
        <v>46076</v>
      </c>
      <c r="Q24" s="32"/>
      <c r="R24" s="32"/>
      <c r="S24" s="23" t="s">
        <v>167</v>
      </c>
      <c r="T24" s="33">
        <v>0</v>
      </c>
      <c r="U24" s="34" t="s">
        <v>168</v>
      </c>
      <c r="V24" s="35" t="s">
        <v>44</v>
      </c>
    </row>
    <row r="25" spans="1:23" ht="299.25" customHeight="1" x14ac:dyDescent="0.25">
      <c r="A25" s="21">
        <v>22</v>
      </c>
      <c r="B25" s="22">
        <v>17653143</v>
      </c>
      <c r="C25" s="44" t="s">
        <v>169</v>
      </c>
      <c r="D25" s="65"/>
      <c r="E25" s="41">
        <v>44784</v>
      </c>
      <c r="F25" s="56" t="s">
        <v>170</v>
      </c>
      <c r="G25" s="26">
        <v>7267</v>
      </c>
      <c r="H25" s="27">
        <v>7232089</v>
      </c>
      <c r="I25" s="27" t="s">
        <v>171</v>
      </c>
      <c r="J25" s="28">
        <v>45799</v>
      </c>
      <c r="K25" s="27" t="s">
        <v>85</v>
      </c>
      <c r="L25" s="29" t="s">
        <v>172</v>
      </c>
      <c r="M25" s="46" t="s">
        <v>173</v>
      </c>
      <c r="N25" s="28">
        <v>45804</v>
      </c>
      <c r="O25" s="32">
        <v>45882</v>
      </c>
      <c r="P25" s="30">
        <v>45895</v>
      </c>
      <c r="Q25" s="32"/>
      <c r="R25" s="32" t="s">
        <v>174</v>
      </c>
      <c r="S25" s="23" t="s">
        <v>175</v>
      </c>
      <c r="T25" s="33">
        <v>4924865</v>
      </c>
      <c r="U25" s="34" t="s">
        <v>495</v>
      </c>
      <c r="V25" s="35" t="s">
        <v>36</v>
      </c>
      <c r="W25" s="136"/>
    </row>
    <row r="26" spans="1:23" ht="177" customHeight="1" x14ac:dyDescent="0.25">
      <c r="A26" s="21">
        <v>23</v>
      </c>
      <c r="B26" s="67">
        <v>1085258543</v>
      </c>
      <c r="C26" s="68" t="s">
        <v>176</v>
      </c>
      <c r="D26" s="60" t="s">
        <v>177</v>
      </c>
      <c r="E26" s="30">
        <v>44784</v>
      </c>
      <c r="F26" s="64">
        <v>800000454</v>
      </c>
      <c r="G26" s="26">
        <v>1415</v>
      </c>
      <c r="H26" s="27">
        <v>1803918</v>
      </c>
      <c r="I26" s="27" t="s">
        <v>178</v>
      </c>
      <c r="J26" s="28">
        <v>45359</v>
      </c>
      <c r="K26" s="27" t="s">
        <v>85</v>
      </c>
      <c r="L26" s="29" t="s">
        <v>179</v>
      </c>
      <c r="M26" s="46" t="s">
        <v>180</v>
      </c>
      <c r="N26" s="28">
        <v>45495</v>
      </c>
      <c r="O26" s="32" t="s">
        <v>181</v>
      </c>
      <c r="P26" s="30"/>
      <c r="Q26" s="32"/>
      <c r="R26" s="32" t="s">
        <v>182</v>
      </c>
      <c r="S26" s="23" t="s">
        <v>61</v>
      </c>
      <c r="T26" s="33">
        <v>0</v>
      </c>
      <c r="U26" s="34" t="s">
        <v>183</v>
      </c>
      <c r="V26" s="23" t="s">
        <v>44</v>
      </c>
    </row>
    <row r="27" spans="1:23" ht="177" customHeight="1" x14ac:dyDescent="0.25">
      <c r="A27" s="21">
        <v>24</v>
      </c>
      <c r="B27" s="67">
        <v>1126447953</v>
      </c>
      <c r="C27" s="68" t="s">
        <v>184</v>
      </c>
      <c r="D27" s="60" t="s">
        <v>185</v>
      </c>
      <c r="E27" s="41">
        <v>45936</v>
      </c>
      <c r="F27" s="56" t="s">
        <v>186</v>
      </c>
      <c r="G27" s="26">
        <v>1693</v>
      </c>
      <c r="H27" s="27">
        <v>6145885</v>
      </c>
      <c r="I27" s="27" t="s">
        <v>178</v>
      </c>
      <c r="J27" s="28">
        <v>46001</v>
      </c>
      <c r="K27" s="27" t="s">
        <v>85</v>
      </c>
      <c r="L27" s="29" t="s">
        <v>476</v>
      </c>
      <c r="M27" s="46" t="s">
        <v>187</v>
      </c>
      <c r="N27" s="28"/>
      <c r="O27" s="32"/>
      <c r="P27" s="30"/>
      <c r="Q27" s="32"/>
      <c r="R27" s="32"/>
      <c r="S27" s="23" t="s">
        <v>188</v>
      </c>
      <c r="T27" s="33">
        <v>0</v>
      </c>
      <c r="U27" s="34" t="s">
        <v>477</v>
      </c>
      <c r="V27" s="35" t="s">
        <v>44</v>
      </c>
      <c r="W27" s="136"/>
    </row>
    <row r="28" spans="1:23" ht="216.75" customHeight="1" x14ac:dyDescent="0.25">
      <c r="A28" s="21">
        <v>25</v>
      </c>
      <c r="B28" s="69">
        <v>1122340977</v>
      </c>
      <c r="C28" s="70" t="s">
        <v>189</v>
      </c>
      <c r="D28" s="71" t="s">
        <v>190</v>
      </c>
      <c r="E28" s="72">
        <v>44977</v>
      </c>
      <c r="F28" s="73" t="s">
        <v>191</v>
      </c>
      <c r="G28" s="26">
        <v>2643</v>
      </c>
      <c r="H28" s="27">
        <v>657428</v>
      </c>
      <c r="I28" s="27" t="s">
        <v>192</v>
      </c>
      <c r="J28" s="28">
        <v>45366</v>
      </c>
      <c r="K28" s="27" t="s">
        <v>193</v>
      </c>
      <c r="L28" s="29" t="s">
        <v>194</v>
      </c>
      <c r="M28" s="28" t="s">
        <v>195</v>
      </c>
      <c r="N28" s="28">
        <v>45369</v>
      </c>
      <c r="O28" s="32" t="s">
        <v>196</v>
      </c>
      <c r="P28" s="30">
        <v>45638</v>
      </c>
      <c r="Q28" s="32">
        <v>45918</v>
      </c>
      <c r="R28" s="32" t="s">
        <v>197</v>
      </c>
      <c r="S28" s="23" t="s">
        <v>198</v>
      </c>
      <c r="T28" s="33">
        <v>0</v>
      </c>
      <c r="U28" s="34" t="s">
        <v>488</v>
      </c>
      <c r="V28" s="23" t="s">
        <v>44</v>
      </c>
      <c r="W28" s="136"/>
    </row>
    <row r="29" spans="1:23" ht="177" customHeight="1" x14ac:dyDescent="0.25">
      <c r="A29" s="21">
        <v>26</v>
      </c>
      <c r="B29" s="22">
        <v>1122339777</v>
      </c>
      <c r="C29" s="44" t="s">
        <v>199</v>
      </c>
      <c r="D29" s="65" t="s">
        <v>200</v>
      </c>
      <c r="E29" s="41">
        <v>44977</v>
      </c>
      <c r="F29" s="56" t="s">
        <v>201</v>
      </c>
      <c r="G29" s="26">
        <v>2686</v>
      </c>
      <c r="H29" s="27">
        <v>2435000</v>
      </c>
      <c r="I29" s="27" t="s">
        <v>202</v>
      </c>
      <c r="J29" s="28">
        <v>45790</v>
      </c>
      <c r="K29" s="27" t="s">
        <v>85</v>
      </c>
      <c r="L29" s="29" t="s">
        <v>203</v>
      </c>
      <c r="M29" s="46" t="s">
        <v>204</v>
      </c>
      <c r="N29" s="28">
        <v>45824</v>
      </c>
      <c r="O29" s="32"/>
      <c r="P29" s="30"/>
      <c r="Q29" s="32"/>
      <c r="R29" s="32"/>
      <c r="S29" s="23" t="s">
        <v>61</v>
      </c>
      <c r="T29" s="33">
        <v>0</v>
      </c>
      <c r="U29" s="34" t="s">
        <v>483</v>
      </c>
      <c r="V29" s="35" t="s">
        <v>44</v>
      </c>
      <c r="W29" s="136"/>
    </row>
    <row r="30" spans="1:23" ht="282" customHeight="1" x14ac:dyDescent="0.25">
      <c r="A30" s="21">
        <v>27</v>
      </c>
      <c r="B30" s="22">
        <v>1151452715</v>
      </c>
      <c r="C30" s="44" t="s">
        <v>205</v>
      </c>
      <c r="D30" s="65" t="s">
        <v>206</v>
      </c>
      <c r="E30" s="41">
        <v>44977</v>
      </c>
      <c r="F30" s="56" t="s">
        <v>207</v>
      </c>
      <c r="G30" s="26">
        <v>2925</v>
      </c>
      <c r="H30" s="27">
        <v>5737000</v>
      </c>
      <c r="I30" s="27" t="s">
        <v>202</v>
      </c>
      <c r="J30" s="28">
        <v>45790</v>
      </c>
      <c r="K30" s="27" t="s">
        <v>85</v>
      </c>
      <c r="L30" s="29" t="s">
        <v>86</v>
      </c>
      <c r="M30" s="46" t="s">
        <v>208</v>
      </c>
      <c r="N30" s="28">
        <v>45804</v>
      </c>
      <c r="O30" s="28">
        <v>45911</v>
      </c>
      <c r="P30" s="30"/>
      <c r="Q30" s="32"/>
      <c r="R30" s="32" t="s">
        <v>209</v>
      </c>
      <c r="S30" s="23" t="s">
        <v>61</v>
      </c>
      <c r="T30" s="33">
        <v>0</v>
      </c>
      <c r="U30" s="34" t="s">
        <v>482</v>
      </c>
      <c r="V30" s="35" t="s">
        <v>44</v>
      </c>
      <c r="W30" s="136"/>
    </row>
    <row r="31" spans="1:23" ht="183.75" customHeight="1" x14ac:dyDescent="0.25">
      <c r="A31" s="21">
        <v>28</v>
      </c>
      <c r="B31" s="22">
        <v>1127080630</v>
      </c>
      <c r="C31" s="44" t="s">
        <v>210</v>
      </c>
      <c r="D31" s="65" t="s">
        <v>211</v>
      </c>
      <c r="E31" s="41">
        <v>44977</v>
      </c>
      <c r="F31" s="56" t="s">
        <v>212</v>
      </c>
      <c r="G31" s="26">
        <v>6676</v>
      </c>
      <c r="H31" s="27">
        <v>7893000</v>
      </c>
      <c r="I31" s="27" t="s">
        <v>202</v>
      </c>
      <c r="J31" s="28">
        <v>45790</v>
      </c>
      <c r="K31" s="27" t="s">
        <v>85</v>
      </c>
      <c r="L31" s="29" t="s">
        <v>172</v>
      </c>
      <c r="M31" s="28" t="s">
        <v>213</v>
      </c>
      <c r="N31" s="28">
        <v>45804</v>
      </c>
      <c r="O31" s="32" t="s">
        <v>214</v>
      </c>
      <c r="P31" s="30"/>
      <c r="Q31" s="32"/>
      <c r="R31" s="32"/>
      <c r="S31" s="23" t="s">
        <v>215</v>
      </c>
      <c r="T31" s="33">
        <v>0</v>
      </c>
      <c r="U31" s="34" t="s">
        <v>216</v>
      </c>
      <c r="V31" s="35" t="s">
        <v>44</v>
      </c>
    </row>
    <row r="32" spans="1:23" ht="188.25" customHeight="1" x14ac:dyDescent="0.25">
      <c r="A32" s="21">
        <v>29</v>
      </c>
      <c r="B32" s="23">
        <v>41120842</v>
      </c>
      <c r="C32" s="44" t="s">
        <v>217</v>
      </c>
      <c r="D32" s="65" t="s">
        <v>218</v>
      </c>
      <c r="E32" s="41">
        <v>45936</v>
      </c>
      <c r="F32" s="56" t="s">
        <v>219</v>
      </c>
      <c r="G32" s="26">
        <v>4087</v>
      </c>
      <c r="H32" s="27">
        <v>7606146</v>
      </c>
      <c r="I32" s="27" t="s">
        <v>202</v>
      </c>
      <c r="J32" s="28">
        <v>45995</v>
      </c>
      <c r="K32" s="27" t="s">
        <v>85</v>
      </c>
      <c r="L32" s="29" t="s">
        <v>220</v>
      </c>
      <c r="M32" s="46" t="s">
        <v>221</v>
      </c>
      <c r="N32" s="28">
        <v>46085</v>
      </c>
      <c r="O32" s="32"/>
      <c r="P32" s="30"/>
      <c r="Q32" s="32"/>
      <c r="R32" s="32"/>
      <c r="S32" s="23" t="s">
        <v>100</v>
      </c>
      <c r="T32" s="33">
        <v>0</v>
      </c>
      <c r="U32" s="34" t="s">
        <v>487</v>
      </c>
      <c r="V32" s="35" t="s">
        <v>44</v>
      </c>
      <c r="W32" s="136"/>
    </row>
    <row r="33" spans="1:24" ht="183.75" customHeight="1" x14ac:dyDescent="0.25">
      <c r="A33" s="21">
        <v>30</v>
      </c>
      <c r="B33" s="23">
        <v>88274773</v>
      </c>
      <c r="C33" s="44" t="s">
        <v>222</v>
      </c>
      <c r="D33" s="65" t="s">
        <v>223</v>
      </c>
      <c r="E33" s="41">
        <v>45936</v>
      </c>
      <c r="F33" s="56" t="s">
        <v>224</v>
      </c>
      <c r="G33" s="26">
        <v>3443</v>
      </c>
      <c r="H33" s="27">
        <v>6612643</v>
      </c>
      <c r="I33" s="27" t="s">
        <v>202</v>
      </c>
      <c r="J33" s="28">
        <v>45995</v>
      </c>
      <c r="K33" s="27" t="s">
        <v>85</v>
      </c>
      <c r="L33" s="29" t="s">
        <v>225</v>
      </c>
      <c r="M33" s="46" t="s">
        <v>226</v>
      </c>
      <c r="N33" s="28">
        <v>46070</v>
      </c>
      <c r="O33" s="32"/>
      <c r="P33" s="30"/>
      <c r="Q33" s="32"/>
      <c r="R33" s="32"/>
      <c r="S33" s="23" t="s">
        <v>100</v>
      </c>
      <c r="T33" s="33">
        <v>0</v>
      </c>
      <c r="U33" s="34" t="s">
        <v>484</v>
      </c>
      <c r="V33" s="35" t="s">
        <v>44</v>
      </c>
      <c r="W33" s="136"/>
    </row>
    <row r="34" spans="1:24" ht="183.75" customHeight="1" x14ac:dyDescent="0.25">
      <c r="A34" s="21">
        <v>31</v>
      </c>
      <c r="B34" s="23">
        <v>10661249</v>
      </c>
      <c r="C34" s="44" t="s">
        <v>227</v>
      </c>
      <c r="D34" s="65" t="s">
        <v>228</v>
      </c>
      <c r="E34" s="41">
        <v>45936</v>
      </c>
      <c r="F34" s="56" t="s">
        <v>229</v>
      </c>
      <c r="G34" s="26">
        <v>4196</v>
      </c>
      <c r="H34" s="27">
        <v>7255791</v>
      </c>
      <c r="I34" s="27" t="s">
        <v>202</v>
      </c>
      <c r="J34" s="28">
        <v>45996</v>
      </c>
      <c r="K34" s="27" t="s">
        <v>85</v>
      </c>
      <c r="L34" s="29" t="s">
        <v>230</v>
      </c>
      <c r="M34" s="46" t="s">
        <v>231</v>
      </c>
      <c r="N34" s="28">
        <v>46121</v>
      </c>
      <c r="O34" s="32"/>
      <c r="P34" s="30"/>
      <c r="Q34" s="32"/>
      <c r="R34" s="32"/>
      <c r="S34" s="23" t="s">
        <v>478</v>
      </c>
      <c r="T34" s="33">
        <v>0</v>
      </c>
      <c r="U34" s="34" t="s">
        <v>479</v>
      </c>
      <c r="V34" s="35" t="s">
        <v>44</v>
      </c>
      <c r="W34" s="136"/>
    </row>
    <row r="35" spans="1:24" ht="183.75" customHeight="1" x14ac:dyDescent="0.25">
      <c r="A35" s="21">
        <v>32</v>
      </c>
      <c r="B35" s="22">
        <v>18155797</v>
      </c>
      <c r="C35" s="21" t="s">
        <v>232</v>
      </c>
      <c r="D35" s="23" t="s">
        <v>233</v>
      </c>
      <c r="E35" s="41">
        <v>45936</v>
      </c>
      <c r="F35" s="56" t="s">
        <v>234</v>
      </c>
      <c r="G35" s="26">
        <v>3480</v>
      </c>
      <c r="H35" s="27">
        <v>2558936</v>
      </c>
      <c r="I35" s="27" t="s">
        <v>202</v>
      </c>
      <c r="J35" s="28">
        <v>45996</v>
      </c>
      <c r="K35" s="27" t="s">
        <v>85</v>
      </c>
      <c r="L35" s="29" t="s">
        <v>235</v>
      </c>
      <c r="M35" s="46" t="s">
        <v>236</v>
      </c>
      <c r="N35" s="28">
        <v>46083</v>
      </c>
      <c r="O35" s="32"/>
      <c r="P35" s="30"/>
      <c r="Q35" s="32"/>
      <c r="R35" s="32"/>
      <c r="S35" s="23" t="s">
        <v>100</v>
      </c>
      <c r="T35" s="33">
        <v>0</v>
      </c>
      <c r="U35" s="34" t="s">
        <v>237</v>
      </c>
      <c r="V35" s="35" t="s">
        <v>44</v>
      </c>
    </row>
    <row r="36" spans="1:24" ht="240.75" customHeight="1" x14ac:dyDescent="0.25">
      <c r="A36" s="21">
        <v>33</v>
      </c>
      <c r="B36" s="22">
        <v>1006995341</v>
      </c>
      <c r="C36" s="21" t="s">
        <v>238</v>
      </c>
      <c r="D36" s="23" t="s">
        <v>239</v>
      </c>
      <c r="E36" s="41">
        <v>45936</v>
      </c>
      <c r="F36" s="56" t="s">
        <v>240</v>
      </c>
      <c r="G36" s="26">
        <v>2629</v>
      </c>
      <c r="H36" s="27">
        <v>1078093</v>
      </c>
      <c r="I36" s="27" t="s">
        <v>202</v>
      </c>
      <c r="J36" s="28">
        <v>45996</v>
      </c>
      <c r="K36" s="27" t="s">
        <v>77</v>
      </c>
      <c r="L36" s="29" t="s">
        <v>241</v>
      </c>
      <c r="M36" s="74" t="s">
        <v>242</v>
      </c>
      <c r="N36" s="28">
        <v>46121</v>
      </c>
      <c r="O36" s="32"/>
      <c r="P36" s="30"/>
      <c r="Q36" s="32"/>
      <c r="R36" s="32"/>
      <c r="S36" s="23" t="s">
        <v>188</v>
      </c>
      <c r="T36" s="33">
        <v>0</v>
      </c>
      <c r="U36" s="34" t="s">
        <v>481</v>
      </c>
      <c r="V36" s="35" t="s">
        <v>44</v>
      </c>
      <c r="W36" s="136"/>
    </row>
    <row r="37" spans="1:24" ht="238.5" customHeight="1" x14ac:dyDescent="0.25">
      <c r="A37" s="21">
        <v>34</v>
      </c>
      <c r="B37" s="22">
        <v>1004714500</v>
      </c>
      <c r="C37" s="21" t="s">
        <v>243</v>
      </c>
      <c r="D37" s="23" t="s">
        <v>244</v>
      </c>
      <c r="E37" s="41">
        <v>45936</v>
      </c>
      <c r="F37" s="56" t="s">
        <v>245</v>
      </c>
      <c r="G37" s="26">
        <v>3158</v>
      </c>
      <c r="H37" s="27">
        <v>4783195</v>
      </c>
      <c r="I37" s="27" t="s">
        <v>202</v>
      </c>
      <c r="J37" s="28">
        <v>45996</v>
      </c>
      <c r="K37" s="27" t="s">
        <v>77</v>
      </c>
      <c r="L37" s="29" t="s">
        <v>246</v>
      </c>
      <c r="M37" s="28" t="s">
        <v>247</v>
      </c>
      <c r="N37" s="28">
        <v>46132</v>
      </c>
      <c r="O37" s="32"/>
      <c r="P37" s="30"/>
      <c r="Q37" s="32"/>
      <c r="R37" s="32"/>
      <c r="S37" s="23" t="s">
        <v>188</v>
      </c>
      <c r="T37" s="33">
        <v>0</v>
      </c>
      <c r="U37" s="34" t="s">
        <v>480</v>
      </c>
      <c r="V37" s="35" t="s">
        <v>44</v>
      </c>
      <c r="W37" s="136"/>
    </row>
    <row r="38" spans="1:24" ht="183.75" customHeight="1" x14ac:dyDescent="0.25">
      <c r="A38" s="21">
        <v>35</v>
      </c>
      <c r="B38" s="22">
        <v>55178746</v>
      </c>
      <c r="C38" s="21" t="s">
        <v>248</v>
      </c>
      <c r="D38" s="23" t="s">
        <v>249</v>
      </c>
      <c r="E38" s="41">
        <v>45936</v>
      </c>
      <c r="F38" s="56" t="s">
        <v>250</v>
      </c>
      <c r="G38" s="26">
        <v>2583</v>
      </c>
      <c r="H38" s="27">
        <v>1336294</v>
      </c>
      <c r="I38" s="27" t="s">
        <v>202</v>
      </c>
      <c r="J38" s="28">
        <v>45996</v>
      </c>
      <c r="K38" s="27" t="s">
        <v>77</v>
      </c>
      <c r="L38" s="29" t="s">
        <v>246</v>
      </c>
      <c r="M38" s="28" t="s">
        <v>247</v>
      </c>
      <c r="N38" s="28">
        <v>46042</v>
      </c>
      <c r="O38" s="32"/>
      <c r="P38" s="30"/>
      <c r="Q38" s="32"/>
      <c r="R38" s="32"/>
      <c r="S38" s="23" t="s">
        <v>188</v>
      </c>
      <c r="T38" s="33">
        <v>0</v>
      </c>
      <c r="U38" s="34" t="s">
        <v>485</v>
      </c>
      <c r="V38" s="35" t="s">
        <v>44</v>
      </c>
      <c r="W38" s="136"/>
    </row>
    <row r="39" spans="1:24" ht="183.75" customHeight="1" x14ac:dyDescent="0.25">
      <c r="A39" s="21">
        <v>36</v>
      </c>
      <c r="B39" s="75">
        <v>1117262378</v>
      </c>
      <c r="C39" s="21" t="s">
        <v>251</v>
      </c>
      <c r="D39" s="23" t="s">
        <v>252</v>
      </c>
      <c r="E39" s="76"/>
      <c r="F39" s="77">
        <v>300000197</v>
      </c>
      <c r="G39" s="77">
        <v>9116</v>
      </c>
      <c r="H39" s="23" t="s">
        <v>253</v>
      </c>
      <c r="I39" s="27" t="s">
        <v>66</v>
      </c>
      <c r="J39" s="23"/>
      <c r="K39" s="27" t="s">
        <v>77</v>
      </c>
      <c r="L39" s="21" t="s">
        <v>254</v>
      </c>
      <c r="M39" s="46" t="s">
        <v>255</v>
      </c>
      <c r="N39" s="53">
        <v>46066</v>
      </c>
      <c r="O39" s="23"/>
      <c r="P39" s="23"/>
      <c r="Q39" s="23"/>
      <c r="R39" s="23"/>
      <c r="S39" s="23" t="s">
        <v>61</v>
      </c>
      <c r="T39" s="23">
        <v>0</v>
      </c>
      <c r="U39" s="78" t="s">
        <v>256</v>
      </c>
      <c r="V39" s="23" t="s">
        <v>44</v>
      </c>
    </row>
    <row r="40" spans="1:24" ht="231.95" customHeight="1" x14ac:dyDescent="0.25">
      <c r="A40" s="79">
        <v>37</v>
      </c>
      <c r="B40" s="80">
        <v>1676297</v>
      </c>
      <c r="C40" s="79" t="s">
        <v>257</v>
      </c>
      <c r="D40" s="81" t="s">
        <v>258</v>
      </c>
      <c r="E40" s="82">
        <v>46062</v>
      </c>
      <c r="F40" s="81">
        <v>300000265</v>
      </c>
      <c r="G40" s="83">
        <v>10235</v>
      </c>
      <c r="H40" s="84" t="s">
        <v>259</v>
      </c>
      <c r="I40" s="81" t="s">
        <v>28</v>
      </c>
      <c r="J40" s="85"/>
      <c r="K40" s="81" t="s">
        <v>46</v>
      </c>
      <c r="L40" s="79" t="s">
        <v>260</v>
      </c>
      <c r="M40" s="86" t="s">
        <v>261</v>
      </c>
      <c r="N40" s="82">
        <v>46070</v>
      </c>
      <c r="O40" s="85"/>
      <c r="P40" s="85"/>
      <c r="Q40" s="85"/>
      <c r="R40" s="81" t="s">
        <v>262</v>
      </c>
      <c r="S40" s="81" t="s">
        <v>61</v>
      </c>
      <c r="T40" s="84">
        <v>0</v>
      </c>
      <c r="U40" s="87" t="s">
        <v>445</v>
      </c>
      <c r="V40" s="81" t="s">
        <v>44</v>
      </c>
      <c r="W40" s="135"/>
      <c r="X40" s="135"/>
    </row>
    <row r="41" spans="1:24" ht="259.14999999999998" customHeight="1" x14ac:dyDescent="0.25">
      <c r="A41" s="79">
        <v>38</v>
      </c>
      <c r="B41" s="80">
        <v>1126447196</v>
      </c>
      <c r="C41" s="79" t="s">
        <v>263</v>
      </c>
      <c r="D41" s="81" t="s">
        <v>264</v>
      </c>
      <c r="E41" s="82">
        <v>46069</v>
      </c>
      <c r="F41" s="81">
        <v>300000228</v>
      </c>
      <c r="G41" s="83">
        <v>2759</v>
      </c>
      <c r="H41" s="84">
        <v>3831505</v>
      </c>
      <c r="I41" s="81" t="s">
        <v>202</v>
      </c>
      <c r="J41" s="85"/>
      <c r="K41" s="81" t="s">
        <v>85</v>
      </c>
      <c r="L41" s="79" t="s">
        <v>265</v>
      </c>
      <c r="M41" s="86" t="s">
        <v>266</v>
      </c>
      <c r="N41" s="82">
        <v>46093</v>
      </c>
      <c r="O41" s="85"/>
      <c r="P41" s="85"/>
      <c r="Q41" s="85"/>
      <c r="R41" s="85"/>
      <c r="S41" s="81" t="s">
        <v>18</v>
      </c>
      <c r="T41" s="84">
        <v>0</v>
      </c>
      <c r="U41" s="87" t="s">
        <v>453</v>
      </c>
      <c r="V41" s="81" t="s">
        <v>44</v>
      </c>
      <c r="W41" s="135"/>
      <c r="X41" s="135"/>
    </row>
    <row r="42" spans="1:24" ht="183.75" customHeight="1" x14ac:dyDescent="0.25">
      <c r="A42" s="79">
        <v>39</v>
      </c>
      <c r="B42" s="80">
        <v>1006850578</v>
      </c>
      <c r="C42" s="79" t="s">
        <v>268</v>
      </c>
      <c r="D42" s="81" t="s">
        <v>269</v>
      </c>
      <c r="E42" s="82">
        <v>46069</v>
      </c>
      <c r="F42" s="81">
        <v>300000134</v>
      </c>
      <c r="G42" s="83">
        <v>3003</v>
      </c>
      <c r="H42" s="84">
        <v>6801885</v>
      </c>
      <c r="I42" s="81" t="s">
        <v>202</v>
      </c>
      <c r="J42" s="85"/>
      <c r="K42" s="81" t="s">
        <v>85</v>
      </c>
      <c r="L42" s="79" t="s">
        <v>270</v>
      </c>
      <c r="M42" s="81" t="s">
        <v>271</v>
      </c>
      <c r="N42" s="82">
        <v>46093</v>
      </c>
      <c r="O42" s="85"/>
      <c r="P42" s="85"/>
      <c r="Q42" s="85"/>
      <c r="R42" s="85"/>
      <c r="S42" s="81" t="s">
        <v>61</v>
      </c>
      <c r="T42" s="84">
        <v>0</v>
      </c>
      <c r="U42" s="87" t="s">
        <v>272</v>
      </c>
      <c r="V42" s="81" t="s">
        <v>44</v>
      </c>
      <c r="W42" s="135"/>
      <c r="X42" s="135"/>
    </row>
    <row r="43" spans="1:24" ht="183.75" customHeight="1" x14ac:dyDescent="0.25">
      <c r="A43" s="79">
        <v>40</v>
      </c>
      <c r="B43" s="80">
        <v>1122342656</v>
      </c>
      <c r="C43" s="79" t="s">
        <v>273</v>
      </c>
      <c r="D43" s="81" t="s">
        <v>274</v>
      </c>
      <c r="E43" s="82"/>
      <c r="F43" s="81">
        <v>300000168</v>
      </c>
      <c r="G43" s="83">
        <v>3726</v>
      </c>
      <c r="H43" s="84">
        <v>7983152</v>
      </c>
      <c r="I43" s="81" t="s">
        <v>202</v>
      </c>
      <c r="J43" s="85"/>
      <c r="K43" s="81" t="s">
        <v>85</v>
      </c>
      <c r="L43" s="79" t="s">
        <v>275</v>
      </c>
      <c r="M43" s="81" t="s">
        <v>276</v>
      </c>
      <c r="N43" s="82">
        <v>46093</v>
      </c>
      <c r="O43" s="85"/>
      <c r="P43" s="85"/>
      <c r="Q43" s="85"/>
      <c r="R43" s="107" t="s">
        <v>277</v>
      </c>
      <c r="S43" s="81" t="s">
        <v>61</v>
      </c>
      <c r="T43" s="84">
        <v>0</v>
      </c>
      <c r="U43" s="87" t="s">
        <v>278</v>
      </c>
      <c r="V43" s="81" t="s">
        <v>44</v>
      </c>
      <c r="W43" s="135"/>
      <c r="X43" s="135"/>
    </row>
    <row r="44" spans="1:24" ht="183.75" customHeight="1" x14ac:dyDescent="0.25">
      <c r="A44" s="79">
        <v>41</v>
      </c>
      <c r="B44" s="80">
        <v>87302988</v>
      </c>
      <c r="C44" s="79" t="s">
        <v>279</v>
      </c>
      <c r="D44" s="81" t="s">
        <v>280</v>
      </c>
      <c r="E44" s="82"/>
      <c r="F44" s="81">
        <v>300000257</v>
      </c>
      <c r="G44" s="83">
        <v>3381</v>
      </c>
      <c r="H44" s="84">
        <v>1091903</v>
      </c>
      <c r="I44" s="81" t="s">
        <v>202</v>
      </c>
      <c r="J44" s="85"/>
      <c r="K44" s="81" t="s">
        <v>85</v>
      </c>
      <c r="L44" s="79" t="s">
        <v>254</v>
      </c>
      <c r="M44" s="81" t="s">
        <v>281</v>
      </c>
      <c r="N44" s="82">
        <v>46093</v>
      </c>
      <c r="O44" s="85"/>
      <c r="P44" s="85"/>
      <c r="Q44" s="85"/>
      <c r="R44" s="85"/>
      <c r="S44" s="81" t="s">
        <v>18</v>
      </c>
      <c r="T44" s="84">
        <v>0</v>
      </c>
      <c r="U44" s="87" t="s">
        <v>452</v>
      </c>
      <c r="V44" s="81" t="s">
        <v>44</v>
      </c>
      <c r="W44" s="135"/>
      <c r="X44" s="135"/>
    </row>
    <row r="45" spans="1:24" ht="183.75" customHeight="1" x14ac:dyDescent="0.25">
      <c r="A45" s="79">
        <v>42</v>
      </c>
      <c r="B45" s="80">
        <v>1093297845</v>
      </c>
      <c r="C45" s="79" t="s">
        <v>282</v>
      </c>
      <c r="D45" s="81" t="s">
        <v>428</v>
      </c>
      <c r="E45" s="82">
        <v>46069</v>
      </c>
      <c r="F45" s="81">
        <v>300000225</v>
      </c>
      <c r="G45" s="83">
        <v>3775</v>
      </c>
      <c r="H45" s="84">
        <v>6336542</v>
      </c>
      <c r="I45" s="81" t="s">
        <v>202</v>
      </c>
      <c r="J45" s="85"/>
      <c r="K45" s="81" t="s">
        <v>85</v>
      </c>
      <c r="L45" s="79" t="s">
        <v>283</v>
      </c>
      <c r="M45" s="81" t="s">
        <v>284</v>
      </c>
      <c r="N45" s="82">
        <v>46093</v>
      </c>
      <c r="O45" s="85"/>
      <c r="P45" s="85"/>
      <c r="Q45" s="85"/>
      <c r="R45" s="85"/>
      <c r="S45" s="81" t="s">
        <v>61</v>
      </c>
      <c r="T45" s="84">
        <v>0</v>
      </c>
      <c r="U45" s="87" t="s">
        <v>285</v>
      </c>
      <c r="V45" s="81" t="s">
        <v>44</v>
      </c>
      <c r="W45" s="135"/>
      <c r="X45" s="135"/>
    </row>
    <row r="46" spans="1:24" ht="198" customHeight="1" x14ac:dyDescent="0.25">
      <c r="A46" s="79">
        <v>43</v>
      </c>
      <c r="B46" s="80">
        <v>1123308587</v>
      </c>
      <c r="C46" s="79" t="s">
        <v>286</v>
      </c>
      <c r="D46" s="81"/>
      <c r="E46" s="82">
        <v>46078</v>
      </c>
      <c r="F46" s="81">
        <v>300000163</v>
      </c>
      <c r="G46" s="83">
        <v>4482</v>
      </c>
      <c r="H46" s="84">
        <v>9454628</v>
      </c>
      <c r="I46" s="81" t="s">
        <v>202</v>
      </c>
      <c r="J46" s="82">
        <v>46078</v>
      </c>
      <c r="K46" s="81" t="s">
        <v>346</v>
      </c>
      <c r="L46" s="79" t="s">
        <v>446</v>
      </c>
      <c r="M46" s="81" t="s">
        <v>287</v>
      </c>
      <c r="N46" s="82">
        <v>46099</v>
      </c>
      <c r="O46" s="85"/>
      <c r="P46" s="85"/>
      <c r="Q46" s="85"/>
      <c r="R46" s="85"/>
      <c r="S46" s="81" t="s">
        <v>267</v>
      </c>
      <c r="T46" s="84">
        <v>0</v>
      </c>
      <c r="U46" s="87" t="s">
        <v>447</v>
      </c>
      <c r="V46" s="81" t="s">
        <v>44</v>
      </c>
      <c r="W46" s="135"/>
      <c r="X46" s="135"/>
    </row>
    <row r="47" spans="1:24" ht="271.14999999999998" customHeight="1" x14ac:dyDescent="0.25">
      <c r="A47" s="79">
        <v>44</v>
      </c>
      <c r="B47" s="80">
        <v>1123316490</v>
      </c>
      <c r="C47" s="79" t="s">
        <v>288</v>
      </c>
      <c r="D47" s="81" t="s">
        <v>289</v>
      </c>
      <c r="E47" s="82"/>
      <c r="F47" s="81">
        <v>300000245</v>
      </c>
      <c r="G47" s="83">
        <v>4605</v>
      </c>
      <c r="H47" s="84">
        <v>5270182</v>
      </c>
      <c r="I47" s="81" t="s">
        <v>290</v>
      </c>
      <c r="J47" s="82">
        <v>46080</v>
      </c>
      <c r="K47" s="81" t="s">
        <v>346</v>
      </c>
      <c r="L47" s="79" t="s">
        <v>454</v>
      </c>
      <c r="M47" s="81" t="s">
        <v>291</v>
      </c>
      <c r="N47" s="82">
        <v>46099</v>
      </c>
      <c r="O47" s="85"/>
      <c r="P47" s="85"/>
      <c r="Q47" s="85"/>
      <c r="R47" s="81"/>
      <c r="S47" s="81" t="s">
        <v>18</v>
      </c>
      <c r="T47" s="84">
        <v>0</v>
      </c>
      <c r="U47" s="87" t="s">
        <v>455</v>
      </c>
      <c r="V47" s="81" t="s">
        <v>44</v>
      </c>
      <c r="W47" s="135"/>
      <c r="X47" s="135"/>
    </row>
    <row r="48" spans="1:24" ht="290.25" customHeight="1" x14ac:dyDescent="0.25">
      <c r="A48" s="79">
        <v>45</v>
      </c>
      <c r="B48" s="80">
        <v>1123317704</v>
      </c>
      <c r="C48" s="79" t="s">
        <v>292</v>
      </c>
      <c r="D48" s="81" t="s">
        <v>293</v>
      </c>
      <c r="E48" s="82"/>
      <c r="F48" s="81">
        <v>300000131</v>
      </c>
      <c r="G48" s="83">
        <v>4111</v>
      </c>
      <c r="H48" s="84">
        <v>5862909</v>
      </c>
      <c r="I48" s="81" t="s">
        <v>290</v>
      </c>
      <c r="J48" s="85"/>
      <c r="K48" s="81" t="s">
        <v>346</v>
      </c>
      <c r="L48" s="79" t="s">
        <v>456</v>
      </c>
      <c r="M48" s="81" t="s">
        <v>294</v>
      </c>
      <c r="N48" s="82">
        <v>46099</v>
      </c>
      <c r="O48" s="85"/>
      <c r="P48" s="85"/>
      <c r="Q48" s="85"/>
      <c r="R48" s="85"/>
      <c r="S48" s="81" t="s">
        <v>458</v>
      </c>
      <c r="T48" s="84">
        <v>4000000</v>
      </c>
      <c r="U48" s="87" t="s">
        <v>457</v>
      </c>
      <c r="V48" s="81" t="s">
        <v>36</v>
      </c>
      <c r="W48" s="135"/>
      <c r="X48" s="135"/>
    </row>
    <row r="49" spans="1:24" ht="183.75" customHeight="1" x14ac:dyDescent="0.25">
      <c r="A49" s="79">
        <v>46</v>
      </c>
      <c r="B49" s="80">
        <v>18153815</v>
      </c>
      <c r="C49" s="79" t="s">
        <v>295</v>
      </c>
      <c r="D49" s="81" t="s">
        <v>296</v>
      </c>
      <c r="E49" s="82"/>
      <c r="F49" s="81">
        <v>300000261</v>
      </c>
      <c r="G49" s="83">
        <v>10381</v>
      </c>
      <c r="H49" s="84">
        <v>3945254</v>
      </c>
      <c r="I49" s="81" t="s">
        <v>28</v>
      </c>
      <c r="J49" s="82">
        <v>46085</v>
      </c>
      <c r="K49" s="81" t="s">
        <v>346</v>
      </c>
      <c r="L49" s="79" t="s">
        <v>419</v>
      </c>
      <c r="M49" s="81" t="s">
        <v>297</v>
      </c>
      <c r="N49" s="82">
        <v>46141</v>
      </c>
      <c r="O49" s="85"/>
      <c r="P49" s="85"/>
      <c r="Q49" s="85"/>
      <c r="R49" s="85"/>
      <c r="S49" s="81" t="s">
        <v>267</v>
      </c>
      <c r="T49" s="84">
        <v>0</v>
      </c>
      <c r="U49" s="88" t="s">
        <v>420</v>
      </c>
      <c r="V49" s="81" t="s">
        <v>44</v>
      </c>
      <c r="W49" s="135"/>
      <c r="X49" s="135"/>
    </row>
    <row r="50" spans="1:24" ht="300" customHeight="1" x14ac:dyDescent="0.25">
      <c r="A50" s="79">
        <v>47</v>
      </c>
      <c r="B50" s="80">
        <v>1053772396</v>
      </c>
      <c r="C50" s="79" t="s">
        <v>299</v>
      </c>
      <c r="D50" s="81" t="s">
        <v>300</v>
      </c>
      <c r="E50" s="82">
        <v>46084</v>
      </c>
      <c r="F50" s="81">
        <v>300000196</v>
      </c>
      <c r="G50" s="83">
        <v>9111</v>
      </c>
      <c r="H50" s="84">
        <v>9054220</v>
      </c>
      <c r="I50" s="81" t="s">
        <v>66</v>
      </c>
      <c r="J50" s="82">
        <v>46084</v>
      </c>
      <c r="K50" s="81" t="s">
        <v>403</v>
      </c>
      <c r="L50" s="79" t="s">
        <v>443</v>
      </c>
      <c r="M50" s="86" t="s">
        <v>301</v>
      </c>
      <c r="N50" s="82">
        <v>46125</v>
      </c>
      <c r="O50" s="85"/>
      <c r="P50" s="85"/>
      <c r="Q50" s="85"/>
      <c r="R50" s="85"/>
      <c r="S50" s="81" t="s">
        <v>298</v>
      </c>
      <c r="T50" s="84">
        <v>0</v>
      </c>
      <c r="U50" s="88" t="s">
        <v>444</v>
      </c>
      <c r="V50" s="81" t="s">
        <v>44</v>
      </c>
      <c r="W50" s="135"/>
      <c r="X50" s="135"/>
    </row>
    <row r="51" spans="1:24" ht="300" customHeight="1" x14ac:dyDescent="0.25">
      <c r="A51" s="79">
        <v>48</v>
      </c>
      <c r="B51" s="80">
        <v>18157853</v>
      </c>
      <c r="C51" s="79" t="s">
        <v>302</v>
      </c>
      <c r="D51" s="81" t="s">
        <v>303</v>
      </c>
      <c r="E51" s="82">
        <v>46080</v>
      </c>
      <c r="F51" s="81">
        <v>300000212</v>
      </c>
      <c r="G51" s="83">
        <v>3557</v>
      </c>
      <c r="H51" s="84">
        <v>8162739</v>
      </c>
      <c r="I51" s="81" t="s">
        <v>202</v>
      </c>
      <c r="J51" s="82">
        <v>46078</v>
      </c>
      <c r="K51" s="81" t="s">
        <v>85</v>
      </c>
      <c r="L51" s="79" t="s">
        <v>304</v>
      </c>
      <c r="M51" s="86" t="s">
        <v>305</v>
      </c>
      <c r="N51" s="82">
        <v>46099</v>
      </c>
      <c r="O51" s="85"/>
      <c r="P51" s="85"/>
      <c r="Q51" s="85"/>
      <c r="R51" s="85"/>
      <c r="S51" s="81" t="s">
        <v>100</v>
      </c>
      <c r="T51" s="84">
        <v>0</v>
      </c>
      <c r="U51" s="104" t="s">
        <v>459</v>
      </c>
      <c r="V51" s="81" t="s">
        <v>44</v>
      </c>
      <c r="W51" s="135"/>
      <c r="X51" s="135"/>
    </row>
    <row r="52" spans="1:24" ht="300" customHeight="1" x14ac:dyDescent="0.25">
      <c r="A52" s="79">
        <v>49</v>
      </c>
      <c r="B52" s="80">
        <v>1006788286</v>
      </c>
      <c r="C52" s="79" t="s">
        <v>306</v>
      </c>
      <c r="D52" s="81" t="s">
        <v>307</v>
      </c>
      <c r="E52" s="82">
        <v>46080</v>
      </c>
      <c r="F52" s="81">
        <v>300000191</v>
      </c>
      <c r="G52" s="83">
        <v>2923</v>
      </c>
      <c r="H52" s="84">
        <v>3535931</v>
      </c>
      <c r="I52" s="81" t="s">
        <v>202</v>
      </c>
      <c r="J52" s="82">
        <v>46080</v>
      </c>
      <c r="K52" s="81" t="s">
        <v>85</v>
      </c>
      <c r="L52" s="79" t="s">
        <v>308</v>
      </c>
      <c r="M52" s="81" t="s">
        <v>309</v>
      </c>
      <c r="N52" s="82">
        <v>46100</v>
      </c>
      <c r="O52" s="85"/>
      <c r="P52" s="85"/>
      <c r="Q52" s="85"/>
      <c r="R52" s="85"/>
      <c r="S52" s="81" t="s">
        <v>100</v>
      </c>
      <c r="T52" s="84">
        <v>0</v>
      </c>
      <c r="U52" s="88" t="s">
        <v>429</v>
      </c>
      <c r="V52" s="81" t="s">
        <v>44</v>
      </c>
      <c r="W52" s="135"/>
      <c r="X52" s="135"/>
    </row>
    <row r="53" spans="1:24" ht="300" customHeight="1" x14ac:dyDescent="0.25">
      <c r="A53" s="79">
        <v>50</v>
      </c>
      <c r="B53" s="80">
        <v>1125179692</v>
      </c>
      <c r="C53" s="79" t="s">
        <v>310</v>
      </c>
      <c r="D53" s="81" t="s">
        <v>311</v>
      </c>
      <c r="E53" s="82">
        <v>46084</v>
      </c>
      <c r="F53" s="81">
        <v>300000183</v>
      </c>
      <c r="G53" s="83">
        <v>6331</v>
      </c>
      <c r="H53" s="84">
        <v>3478945</v>
      </c>
      <c r="I53" s="81" t="s">
        <v>312</v>
      </c>
      <c r="J53" s="82">
        <v>46084</v>
      </c>
      <c r="K53" s="81" t="s">
        <v>85</v>
      </c>
      <c r="L53" s="79" t="s">
        <v>313</v>
      </c>
      <c r="M53" s="81" t="s">
        <v>314</v>
      </c>
      <c r="N53" s="82">
        <v>46085</v>
      </c>
      <c r="O53" s="89"/>
      <c r="P53" s="81"/>
      <c r="Q53" s="81"/>
      <c r="R53" s="81"/>
      <c r="S53" s="81" t="s">
        <v>100</v>
      </c>
      <c r="T53" s="84">
        <v>0</v>
      </c>
      <c r="U53" s="88" t="s">
        <v>442</v>
      </c>
      <c r="V53" s="81" t="s">
        <v>44</v>
      </c>
      <c r="W53" s="135"/>
      <c r="X53" s="135"/>
    </row>
    <row r="54" spans="1:24" ht="300" customHeight="1" x14ac:dyDescent="0.25">
      <c r="A54" s="79">
        <v>51</v>
      </c>
      <c r="B54" s="80">
        <v>1123312996</v>
      </c>
      <c r="C54" s="79" t="s">
        <v>315</v>
      </c>
      <c r="D54" s="81" t="s">
        <v>316</v>
      </c>
      <c r="E54" s="82"/>
      <c r="F54" s="81">
        <v>300000162</v>
      </c>
      <c r="G54" s="83">
        <v>3914</v>
      </c>
      <c r="H54" s="84">
        <v>7206185</v>
      </c>
      <c r="I54" s="81" t="s">
        <v>290</v>
      </c>
      <c r="J54" s="82">
        <v>46057</v>
      </c>
      <c r="K54" s="81" t="s">
        <v>346</v>
      </c>
      <c r="L54" s="79" t="s">
        <v>270</v>
      </c>
      <c r="M54" s="86" t="s">
        <v>317</v>
      </c>
      <c r="N54" s="82">
        <v>46128</v>
      </c>
      <c r="O54" s="90"/>
      <c r="P54" s="81"/>
      <c r="Q54" s="81"/>
      <c r="R54" s="81"/>
      <c r="S54" s="81" t="s">
        <v>336</v>
      </c>
      <c r="T54" s="84">
        <v>0</v>
      </c>
      <c r="U54" s="88" t="s">
        <v>418</v>
      </c>
      <c r="V54" s="81" t="s">
        <v>44</v>
      </c>
      <c r="W54" s="135"/>
      <c r="X54" s="135"/>
    </row>
    <row r="55" spans="1:24" ht="300" customHeight="1" x14ac:dyDescent="0.25">
      <c r="A55" s="79">
        <v>52</v>
      </c>
      <c r="B55" s="80">
        <v>1059915356</v>
      </c>
      <c r="C55" s="79" t="s">
        <v>318</v>
      </c>
      <c r="D55" s="81" t="s">
        <v>319</v>
      </c>
      <c r="E55" s="82">
        <v>46069</v>
      </c>
      <c r="F55" s="81">
        <v>300000133</v>
      </c>
      <c r="G55" s="83">
        <v>3017</v>
      </c>
      <c r="H55" s="84">
        <v>5584870</v>
      </c>
      <c r="I55" s="81" t="s">
        <v>202</v>
      </c>
      <c r="J55" s="82">
        <v>46069</v>
      </c>
      <c r="K55" s="81" t="s">
        <v>403</v>
      </c>
      <c r="L55" s="79" t="s">
        <v>441</v>
      </c>
      <c r="M55" s="86" t="s">
        <v>320</v>
      </c>
      <c r="N55" s="82">
        <v>46092</v>
      </c>
      <c r="O55" s="105"/>
      <c r="P55" s="81"/>
      <c r="Q55" s="81"/>
      <c r="R55" s="81"/>
      <c r="S55" s="81" t="s">
        <v>267</v>
      </c>
      <c r="T55" s="84">
        <v>0</v>
      </c>
      <c r="U55" s="88" t="s">
        <v>321</v>
      </c>
      <c r="V55" s="81" t="s">
        <v>44</v>
      </c>
      <c r="W55" s="135"/>
      <c r="X55" s="135"/>
    </row>
    <row r="56" spans="1:24" ht="300" customHeight="1" x14ac:dyDescent="0.25">
      <c r="A56" s="79">
        <v>53</v>
      </c>
      <c r="B56" s="80">
        <v>41117251</v>
      </c>
      <c r="C56" s="79" t="s">
        <v>322</v>
      </c>
      <c r="D56" s="81" t="s">
        <v>323</v>
      </c>
      <c r="E56" s="82">
        <v>46057</v>
      </c>
      <c r="F56" s="81">
        <v>300000165</v>
      </c>
      <c r="G56" s="83">
        <v>2353</v>
      </c>
      <c r="H56" s="84">
        <v>2939972</v>
      </c>
      <c r="I56" s="81" t="s">
        <v>202</v>
      </c>
      <c r="J56" s="82">
        <v>46057</v>
      </c>
      <c r="K56" s="81" t="s">
        <v>85</v>
      </c>
      <c r="L56" s="79" t="s">
        <v>324</v>
      </c>
      <c r="M56" s="86" t="s">
        <v>325</v>
      </c>
      <c r="N56" s="82">
        <v>46073</v>
      </c>
      <c r="O56" s="89"/>
      <c r="P56" s="81"/>
      <c r="Q56" s="81"/>
      <c r="R56" s="81"/>
      <c r="S56" s="81" t="s">
        <v>18</v>
      </c>
      <c r="T56" s="84">
        <v>0</v>
      </c>
      <c r="U56" s="88" t="s">
        <v>460</v>
      </c>
      <c r="V56" s="81" t="s">
        <v>44</v>
      </c>
      <c r="W56" s="135"/>
      <c r="X56" s="135"/>
    </row>
    <row r="57" spans="1:24" ht="300" customHeight="1" x14ac:dyDescent="0.25">
      <c r="A57" s="79">
        <v>54</v>
      </c>
      <c r="B57" s="80">
        <v>1126456477</v>
      </c>
      <c r="C57" s="79" t="s">
        <v>326</v>
      </c>
      <c r="D57" s="81" t="s">
        <v>327</v>
      </c>
      <c r="E57" s="82">
        <v>46069</v>
      </c>
      <c r="F57" s="81">
        <v>300000211</v>
      </c>
      <c r="G57" s="83">
        <v>4267</v>
      </c>
      <c r="H57" s="84">
        <v>7907859</v>
      </c>
      <c r="I57" s="81" t="s">
        <v>202</v>
      </c>
      <c r="J57" s="82">
        <v>46065</v>
      </c>
      <c r="K57" s="81" t="s">
        <v>85</v>
      </c>
      <c r="L57" s="79" t="s">
        <v>328</v>
      </c>
      <c r="M57" s="86" t="s">
        <v>329</v>
      </c>
      <c r="N57" s="82">
        <v>46092</v>
      </c>
      <c r="O57" s="89"/>
      <c r="P57" s="81"/>
      <c r="Q57" s="81"/>
      <c r="R57" s="81"/>
      <c r="S57" s="81" t="s">
        <v>100</v>
      </c>
      <c r="T57" s="84">
        <v>0</v>
      </c>
      <c r="U57" s="88" t="s">
        <v>463</v>
      </c>
      <c r="V57" s="81" t="s">
        <v>44</v>
      </c>
      <c r="W57" s="135"/>
      <c r="X57" s="135"/>
    </row>
    <row r="58" spans="1:24" ht="300" customHeight="1" x14ac:dyDescent="0.25">
      <c r="A58" s="79">
        <v>55</v>
      </c>
      <c r="B58" s="80">
        <v>1088733301</v>
      </c>
      <c r="C58" s="79" t="s">
        <v>330</v>
      </c>
      <c r="D58" s="81" t="s">
        <v>331</v>
      </c>
      <c r="E58" s="82">
        <v>46063</v>
      </c>
      <c r="F58" s="81">
        <v>300000069</v>
      </c>
      <c r="G58" s="83">
        <v>1720</v>
      </c>
      <c r="H58" s="84">
        <v>9408218</v>
      </c>
      <c r="I58" s="81" t="s">
        <v>178</v>
      </c>
      <c r="J58" s="82">
        <v>46063</v>
      </c>
      <c r="K58" s="81" t="s">
        <v>430</v>
      </c>
      <c r="L58" s="79" t="s">
        <v>431</v>
      </c>
      <c r="M58" s="86" t="s">
        <v>332</v>
      </c>
      <c r="N58" s="82">
        <v>46100</v>
      </c>
      <c r="O58" s="105"/>
      <c r="P58" s="81"/>
      <c r="Q58" s="81"/>
      <c r="R58" s="81"/>
      <c r="S58" s="81" t="s">
        <v>336</v>
      </c>
      <c r="T58" s="84">
        <v>0</v>
      </c>
      <c r="U58" s="88" t="s">
        <v>432</v>
      </c>
      <c r="V58" s="81" t="s">
        <v>44</v>
      </c>
      <c r="W58" s="135"/>
      <c r="X58" s="135"/>
    </row>
    <row r="59" spans="1:24" ht="300" customHeight="1" x14ac:dyDescent="0.25">
      <c r="A59" s="79">
        <v>56</v>
      </c>
      <c r="B59" s="91">
        <v>1123333183</v>
      </c>
      <c r="C59" s="92" t="s">
        <v>333</v>
      </c>
      <c r="D59" s="93" t="s">
        <v>334</v>
      </c>
      <c r="E59" s="94">
        <v>46069</v>
      </c>
      <c r="F59" s="93">
        <v>300000215</v>
      </c>
      <c r="G59" s="95">
        <v>1786</v>
      </c>
      <c r="H59" s="96">
        <v>9806867</v>
      </c>
      <c r="I59" s="93" t="s">
        <v>178</v>
      </c>
      <c r="J59" s="94">
        <v>46069</v>
      </c>
      <c r="K59" s="81" t="s">
        <v>85</v>
      </c>
      <c r="L59" s="92" t="s">
        <v>438</v>
      </c>
      <c r="M59" s="93" t="s">
        <v>335</v>
      </c>
      <c r="N59" s="94">
        <v>46107</v>
      </c>
      <c r="O59" s="90"/>
      <c r="P59" s="93"/>
      <c r="Q59" s="93"/>
      <c r="R59" s="93"/>
      <c r="S59" s="93" t="s">
        <v>336</v>
      </c>
      <c r="T59" s="96">
        <v>0</v>
      </c>
      <c r="U59" s="108" t="s">
        <v>337</v>
      </c>
      <c r="V59" s="93" t="s">
        <v>44</v>
      </c>
      <c r="W59" s="135"/>
      <c r="X59" s="135"/>
    </row>
    <row r="60" spans="1:24" ht="300" customHeight="1" x14ac:dyDescent="0.25">
      <c r="A60" s="79">
        <v>57</v>
      </c>
      <c r="B60" s="80">
        <v>87718687</v>
      </c>
      <c r="C60" s="79" t="s">
        <v>338</v>
      </c>
      <c r="D60" s="81"/>
      <c r="E60" s="82"/>
      <c r="F60" s="81">
        <v>300000221</v>
      </c>
      <c r="G60" s="83">
        <v>2338</v>
      </c>
      <c r="H60" s="84">
        <v>7133233</v>
      </c>
      <c r="I60" s="81" t="s">
        <v>178</v>
      </c>
      <c r="J60" s="82">
        <v>46066</v>
      </c>
      <c r="K60" s="81" t="s">
        <v>85</v>
      </c>
      <c r="L60" s="79" t="s">
        <v>461</v>
      </c>
      <c r="M60" s="81" t="s">
        <v>339</v>
      </c>
      <c r="N60" s="82">
        <v>46100</v>
      </c>
      <c r="O60" s="89"/>
      <c r="P60" s="81"/>
      <c r="Q60" s="81"/>
      <c r="R60" s="81"/>
      <c r="S60" s="81" t="s">
        <v>336</v>
      </c>
      <c r="T60" s="84">
        <v>0</v>
      </c>
      <c r="U60" s="88" t="s">
        <v>462</v>
      </c>
      <c r="V60" s="81" t="s">
        <v>340</v>
      </c>
      <c r="W60" s="135"/>
      <c r="X60" s="135"/>
    </row>
    <row r="61" spans="1:24" ht="300" customHeight="1" x14ac:dyDescent="0.25">
      <c r="A61" s="79">
        <v>58</v>
      </c>
      <c r="B61" s="97">
        <v>1081272790</v>
      </c>
      <c r="C61" s="98" t="s">
        <v>341</v>
      </c>
      <c r="D61" s="99" t="s">
        <v>342</v>
      </c>
      <c r="E61" s="100">
        <v>46066</v>
      </c>
      <c r="F61" s="99">
        <v>300000195</v>
      </c>
      <c r="G61" s="101">
        <v>2372</v>
      </c>
      <c r="H61" s="102">
        <v>6900376</v>
      </c>
      <c r="I61" s="99" t="s">
        <v>178</v>
      </c>
      <c r="J61" s="100">
        <v>46066</v>
      </c>
      <c r="K61" s="99" t="s">
        <v>85</v>
      </c>
      <c r="L61" s="98" t="s">
        <v>436</v>
      </c>
      <c r="M61" s="103" t="s">
        <v>343</v>
      </c>
      <c r="N61" s="100">
        <v>46118</v>
      </c>
      <c r="O61" s="89"/>
      <c r="P61" s="99"/>
      <c r="Q61" s="99"/>
      <c r="R61" s="99"/>
      <c r="S61" s="99" t="s">
        <v>100</v>
      </c>
      <c r="T61" s="102">
        <v>0</v>
      </c>
      <c r="U61" s="109" t="s">
        <v>437</v>
      </c>
      <c r="V61" s="99" t="s">
        <v>44</v>
      </c>
      <c r="W61" s="135"/>
      <c r="X61" s="135"/>
    </row>
    <row r="62" spans="1:24" ht="300" customHeight="1" x14ac:dyDescent="0.25">
      <c r="A62" s="79">
        <v>59</v>
      </c>
      <c r="B62" s="80">
        <v>1006851006</v>
      </c>
      <c r="C62" s="79" t="s">
        <v>344</v>
      </c>
      <c r="D62" s="81" t="s">
        <v>345</v>
      </c>
      <c r="E62" s="82">
        <v>46066</v>
      </c>
      <c r="F62" s="81">
        <v>300000222</v>
      </c>
      <c r="G62" s="83">
        <v>2239</v>
      </c>
      <c r="H62" s="84">
        <v>8018154</v>
      </c>
      <c r="I62" s="81" t="s">
        <v>178</v>
      </c>
      <c r="J62" s="82">
        <v>46066</v>
      </c>
      <c r="K62" s="81" t="s">
        <v>346</v>
      </c>
      <c r="L62" s="79" t="s">
        <v>434</v>
      </c>
      <c r="M62" s="81" t="s">
        <v>347</v>
      </c>
      <c r="N62" s="82">
        <v>46100</v>
      </c>
      <c r="O62" s="105"/>
      <c r="P62" s="81"/>
      <c r="Q62" s="81"/>
      <c r="R62" s="81"/>
      <c r="S62" s="81" t="s">
        <v>336</v>
      </c>
      <c r="T62" s="84">
        <v>0</v>
      </c>
      <c r="U62" s="88" t="s">
        <v>435</v>
      </c>
      <c r="V62" s="81" t="s">
        <v>340</v>
      </c>
      <c r="W62" s="135"/>
      <c r="X62" s="135"/>
    </row>
    <row r="63" spans="1:24" ht="300" customHeight="1" x14ac:dyDescent="0.25">
      <c r="A63" s="79">
        <v>60</v>
      </c>
      <c r="B63" s="80">
        <v>1130764782</v>
      </c>
      <c r="C63" s="79" t="s">
        <v>348</v>
      </c>
      <c r="D63" s="81" t="s">
        <v>349</v>
      </c>
      <c r="E63" s="82">
        <v>46066</v>
      </c>
      <c r="F63" s="81">
        <v>300000253</v>
      </c>
      <c r="G63" s="83">
        <v>2269</v>
      </c>
      <c r="H63" s="84">
        <v>980000</v>
      </c>
      <c r="I63" s="81" t="s">
        <v>178</v>
      </c>
      <c r="J63" s="82">
        <v>46066</v>
      </c>
      <c r="K63" s="81" t="s">
        <v>346</v>
      </c>
      <c r="L63" s="79" t="s">
        <v>439</v>
      </c>
      <c r="M63" s="86" t="s">
        <v>350</v>
      </c>
      <c r="N63" s="82">
        <v>46100</v>
      </c>
      <c r="O63" s="105"/>
      <c r="P63" s="81"/>
      <c r="Q63" s="81"/>
      <c r="R63" s="81"/>
      <c r="S63" s="81" t="s">
        <v>100</v>
      </c>
      <c r="T63" s="84">
        <v>0</v>
      </c>
      <c r="U63" s="88" t="s">
        <v>440</v>
      </c>
      <c r="V63" s="81" t="s">
        <v>340</v>
      </c>
      <c r="W63" s="135"/>
      <c r="X63" s="135"/>
    </row>
    <row r="64" spans="1:24" ht="234" customHeight="1" x14ac:dyDescent="0.25">
      <c r="A64" s="79">
        <v>61</v>
      </c>
      <c r="B64" s="80">
        <v>1124851780</v>
      </c>
      <c r="C64" s="79" t="s">
        <v>351</v>
      </c>
      <c r="D64" s="81" t="s">
        <v>352</v>
      </c>
      <c r="E64" s="82">
        <v>46056</v>
      </c>
      <c r="F64" s="81">
        <v>300000198</v>
      </c>
      <c r="G64" s="83">
        <v>9201</v>
      </c>
      <c r="H64" s="84">
        <v>13318037</v>
      </c>
      <c r="I64" s="81" t="s">
        <v>66</v>
      </c>
      <c r="J64" s="82">
        <v>46056</v>
      </c>
      <c r="K64" s="81" t="s">
        <v>193</v>
      </c>
      <c r="L64" s="79" t="s">
        <v>353</v>
      </c>
      <c r="M64" s="86" t="s">
        <v>354</v>
      </c>
      <c r="N64" s="82">
        <v>46058</v>
      </c>
      <c r="O64" s="89"/>
      <c r="P64" s="81"/>
      <c r="Q64" s="81"/>
      <c r="R64" s="81"/>
      <c r="S64" s="81" t="s">
        <v>18</v>
      </c>
      <c r="T64" s="84">
        <v>0</v>
      </c>
      <c r="U64" s="88" t="s">
        <v>355</v>
      </c>
      <c r="V64" s="81" t="s">
        <v>340</v>
      </c>
      <c r="W64" s="135"/>
      <c r="X64" s="135"/>
    </row>
    <row r="65" spans="1:24" ht="409.5" customHeight="1" x14ac:dyDescent="0.25">
      <c r="A65" s="79">
        <v>62</v>
      </c>
      <c r="B65" s="80">
        <v>1004509788</v>
      </c>
      <c r="C65" s="79" t="s">
        <v>356</v>
      </c>
      <c r="D65" s="81" t="s">
        <v>357</v>
      </c>
      <c r="E65" s="82">
        <v>46065</v>
      </c>
      <c r="F65" s="81">
        <v>300000259</v>
      </c>
      <c r="G65" s="83">
        <v>4749</v>
      </c>
      <c r="H65" s="84">
        <v>6550844</v>
      </c>
      <c r="I65" s="81" t="s">
        <v>290</v>
      </c>
      <c r="J65" s="82">
        <v>46065</v>
      </c>
      <c r="K65" s="81" t="s">
        <v>46</v>
      </c>
      <c r="L65" s="79" t="s">
        <v>358</v>
      </c>
      <c r="M65" s="86" t="s">
        <v>359</v>
      </c>
      <c r="N65" s="82">
        <v>46083</v>
      </c>
      <c r="O65" s="90"/>
      <c r="P65" s="81"/>
      <c r="Q65" s="81"/>
      <c r="R65" s="81" t="s">
        <v>360</v>
      </c>
      <c r="S65" s="81" t="s">
        <v>100</v>
      </c>
      <c r="T65" s="84">
        <v>0</v>
      </c>
      <c r="U65" s="88" t="s">
        <v>493</v>
      </c>
      <c r="V65" s="81" t="s">
        <v>340</v>
      </c>
      <c r="W65" s="135"/>
      <c r="X65" s="135"/>
    </row>
    <row r="66" spans="1:24" ht="300" customHeight="1" x14ac:dyDescent="0.25">
      <c r="A66" s="79">
        <v>63</v>
      </c>
      <c r="B66" s="80">
        <v>1006845663</v>
      </c>
      <c r="C66" s="79" t="s">
        <v>361</v>
      </c>
      <c r="D66" s="81" t="s">
        <v>362</v>
      </c>
      <c r="E66" s="82">
        <v>46056</v>
      </c>
      <c r="F66" s="81">
        <v>300000161</v>
      </c>
      <c r="G66" s="83">
        <v>3662</v>
      </c>
      <c r="H66" s="84">
        <v>4128305</v>
      </c>
      <c r="I66" s="81" t="s">
        <v>290</v>
      </c>
      <c r="J66" s="82">
        <v>46056</v>
      </c>
      <c r="K66" s="81" t="s">
        <v>46</v>
      </c>
      <c r="L66" s="81" t="s">
        <v>363</v>
      </c>
      <c r="M66" s="81" t="s">
        <v>364</v>
      </c>
      <c r="N66" s="82">
        <v>46066</v>
      </c>
      <c r="O66" s="105"/>
      <c r="P66" s="81"/>
      <c r="Q66" s="81"/>
      <c r="R66" s="81" t="s">
        <v>18</v>
      </c>
      <c r="S66" s="81" t="s">
        <v>100</v>
      </c>
      <c r="T66" s="84">
        <v>0</v>
      </c>
      <c r="U66" s="88" t="s">
        <v>365</v>
      </c>
      <c r="V66" s="81" t="s">
        <v>340</v>
      </c>
      <c r="W66" s="135"/>
      <c r="X66" s="135"/>
    </row>
    <row r="67" spans="1:24" ht="300" customHeight="1" x14ac:dyDescent="0.25">
      <c r="A67" s="79">
        <v>64</v>
      </c>
      <c r="B67" s="80">
        <v>1007451379</v>
      </c>
      <c r="C67" s="79" t="s">
        <v>366</v>
      </c>
      <c r="D67" s="81"/>
      <c r="E67" s="82"/>
      <c r="F67" s="90">
        <v>3000000213</v>
      </c>
      <c r="G67" s="81">
        <v>3805</v>
      </c>
      <c r="H67" s="84">
        <v>8016000</v>
      </c>
      <c r="I67" s="81" t="s">
        <v>290</v>
      </c>
      <c r="J67" s="82"/>
      <c r="K67" s="81" t="s">
        <v>346</v>
      </c>
      <c r="L67" s="81" t="s">
        <v>416</v>
      </c>
      <c r="M67" s="86" t="s">
        <v>367</v>
      </c>
      <c r="N67" s="82">
        <v>46139</v>
      </c>
      <c r="O67" s="105"/>
      <c r="P67" s="81"/>
      <c r="Q67" s="81"/>
      <c r="R67" s="81"/>
      <c r="S67" s="81" t="s">
        <v>368</v>
      </c>
      <c r="T67" s="84"/>
      <c r="U67" s="88" t="s">
        <v>417</v>
      </c>
      <c r="V67" s="81" t="s">
        <v>340</v>
      </c>
      <c r="W67" s="135"/>
      <c r="X67" s="135"/>
    </row>
    <row r="68" spans="1:24" ht="300" customHeight="1" x14ac:dyDescent="0.25">
      <c r="A68" s="79">
        <v>65</v>
      </c>
      <c r="B68" s="80">
        <v>1123320895</v>
      </c>
      <c r="C68" s="79" t="s">
        <v>369</v>
      </c>
      <c r="D68" s="81" t="s">
        <v>370</v>
      </c>
      <c r="E68" s="82">
        <v>46121</v>
      </c>
      <c r="F68" s="81">
        <v>300000138</v>
      </c>
      <c r="G68" s="83">
        <v>1892</v>
      </c>
      <c r="H68" s="84">
        <v>6518960</v>
      </c>
      <c r="I68" s="81" t="s">
        <v>178</v>
      </c>
      <c r="J68" s="82">
        <v>46121</v>
      </c>
      <c r="K68" s="81" t="s">
        <v>85</v>
      </c>
      <c r="L68" s="81" t="s">
        <v>433</v>
      </c>
      <c r="M68" s="79" t="s">
        <v>371</v>
      </c>
      <c r="N68" s="82">
        <v>46140</v>
      </c>
      <c r="O68" s="105"/>
      <c r="P68" s="81"/>
      <c r="Q68" s="81"/>
      <c r="R68" s="81"/>
      <c r="S68" s="81" t="s">
        <v>336</v>
      </c>
      <c r="T68" s="84" t="s">
        <v>372</v>
      </c>
      <c r="U68" s="88" t="s">
        <v>373</v>
      </c>
      <c r="V68" s="81"/>
      <c r="W68" s="135"/>
      <c r="X68" s="135"/>
    </row>
    <row r="69" spans="1:24" ht="300" customHeight="1" x14ac:dyDescent="0.25">
      <c r="A69" s="79">
        <v>66</v>
      </c>
      <c r="B69" s="80">
        <v>1123302841</v>
      </c>
      <c r="C69" s="79" t="s">
        <v>374</v>
      </c>
      <c r="D69" s="81" t="s">
        <v>375</v>
      </c>
      <c r="E69" s="82"/>
      <c r="F69" s="81">
        <v>3000000258</v>
      </c>
      <c r="G69" s="83">
        <v>4580</v>
      </c>
      <c r="H69" s="84">
        <v>10170000</v>
      </c>
      <c r="I69" s="81" t="s">
        <v>290</v>
      </c>
      <c r="J69" s="82">
        <v>46121</v>
      </c>
      <c r="K69" s="81" t="s">
        <v>346</v>
      </c>
      <c r="L69" s="81"/>
      <c r="M69" s="79" t="s">
        <v>376</v>
      </c>
      <c r="N69" s="82"/>
      <c r="O69" s="105"/>
      <c r="P69" s="81"/>
      <c r="Q69" s="81"/>
      <c r="R69" s="81"/>
      <c r="S69" s="81" t="s">
        <v>298</v>
      </c>
      <c r="T69" s="84"/>
      <c r="U69" s="88" t="s">
        <v>422</v>
      </c>
      <c r="V69" s="81"/>
      <c r="W69" s="135"/>
      <c r="X69" s="135"/>
    </row>
    <row r="70" spans="1:24" ht="300" customHeight="1" x14ac:dyDescent="0.25">
      <c r="A70" s="79">
        <v>67</v>
      </c>
      <c r="B70" s="80">
        <v>1127080016</v>
      </c>
      <c r="C70" s="79" t="s">
        <v>377</v>
      </c>
      <c r="D70" s="81" t="s">
        <v>378</v>
      </c>
      <c r="E70" s="82">
        <v>46121</v>
      </c>
      <c r="F70" s="81">
        <v>30000021</v>
      </c>
      <c r="G70" s="83">
        <v>8585</v>
      </c>
      <c r="H70" s="84">
        <v>4211401</v>
      </c>
      <c r="I70" s="81" t="s">
        <v>66</v>
      </c>
      <c r="J70" s="82">
        <v>46121</v>
      </c>
      <c r="K70" s="81" t="s">
        <v>85</v>
      </c>
      <c r="L70" s="81" t="s">
        <v>379</v>
      </c>
      <c r="M70" s="106" t="s">
        <v>380</v>
      </c>
      <c r="N70" s="82">
        <v>46132</v>
      </c>
      <c r="O70" s="105"/>
      <c r="P70" s="81"/>
      <c r="Q70" s="81"/>
      <c r="R70" s="81"/>
      <c r="S70" s="81" t="s">
        <v>18</v>
      </c>
      <c r="T70" s="84"/>
      <c r="U70" s="88" t="s">
        <v>381</v>
      </c>
      <c r="V70" s="81" t="s">
        <v>340</v>
      </c>
      <c r="W70" s="135"/>
      <c r="X70" s="135"/>
    </row>
    <row r="71" spans="1:24" ht="300" customHeight="1" x14ac:dyDescent="0.25">
      <c r="A71" s="79">
        <v>68</v>
      </c>
      <c r="B71" s="80">
        <v>1056801639</v>
      </c>
      <c r="C71" s="79" t="s">
        <v>382</v>
      </c>
      <c r="D71" s="81" t="s">
        <v>383</v>
      </c>
      <c r="E71" s="82"/>
      <c r="F71" s="81"/>
      <c r="G71" s="83">
        <v>3818</v>
      </c>
      <c r="H71" s="84">
        <v>2759621</v>
      </c>
      <c r="I71" s="81" t="s">
        <v>290</v>
      </c>
      <c r="J71" s="82">
        <v>46121</v>
      </c>
      <c r="K71" s="81" t="s">
        <v>346</v>
      </c>
      <c r="L71" s="81"/>
      <c r="M71" s="79" t="s">
        <v>384</v>
      </c>
      <c r="N71" s="82"/>
      <c r="O71" s="105"/>
      <c r="P71" s="81"/>
      <c r="Q71" s="81"/>
      <c r="R71" s="81"/>
      <c r="S71" s="81" t="s">
        <v>298</v>
      </c>
      <c r="T71" s="84"/>
      <c r="U71" s="88" t="s">
        <v>385</v>
      </c>
      <c r="V71" s="81"/>
      <c r="W71" s="135"/>
      <c r="X71" s="135"/>
    </row>
    <row r="72" spans="1:24" ht="300" customHeight="1" x14ac:dyDescent="0.25">
      <c r="A72" s="79">
        <v>69</v>
      </c>
      <c r="B72" s="80">
        <v>1122727263</v>
      </c>
      <c r="C72" s="79" t="s">
        <v>386</v>
      </c>
      <c r="D72" s="81"/>
      <c r="E72" s="82">
        <v>46121</v>
      </c>
      <c r="F72" s="113">
        <v>3000000258</v>
      </c>
      <c r="G72" s="81" t="s">
        <v>414</v>
      </c>
      <c r="H72" s="84">
        <v>5942258</v>
      </c>
      <c r="I72" s="81" t="s">
        <v>290</v>
      </c>
      <c r="J72" s="82">
        <v>46121</v>
      </c>
      <c r="K72" s="81" t="s">
        <v>346</v>
      </c>
      <c r="L72" s="81" t="s">
        <v>413</v>
      </c>
      <c r="M72" s="79" t="s">
        <v>387</v>
      </c>
      <c r="N72" s="82" t="s">
        <v>388</v>
      </c>
      <c r="O72" s="105"/>
      <c r="P72" s="81"/>
      <c r="Q72" s="81"/>
      <c r="R72" s="81"/>
      <c r="S72" s="81" t="s">
        <v>368</v>
      </c>
      <c r="T72" s="84"/>
      <c r="U72" s="109" t="s">
        <v>415</v>
      </c>
      <c r="V72" s="81" t="s">
        <v>340</v>
      </c>
      <c r="W72" s="135"/>
      <c r="X72" s="135"/>
    </row>
    <row r="73" spans="1:24" ht="300" customHeight="1" x14ac:dyDescent="0.25">
      <c r="A73" s="79">
        <v>70</v>
      </c>
      <c r="B73" s="80">
        <v>1006845922</v>
      </c>
      <c r="C73" s="79" t="s">
        <v>389</v>
      </c>
      <c r="D73" s="81" t="s">
        <v>390</v>
      </c>
      <c r="E73" s="82"/>
      <c r="F73" s="81"/>
      <c r="G73" s="83">
        <v>4620</v>
      </c>
      <c r="H73" s="84">
        <v>7827567</v>
      </c>
      <c r="I73" s="81" t="s">
        <v>290</v>
      </c>
      <c r="J73" s="82">
        <v>46121</v>
      </c>
      <c r="K73" s="81" t="s">
        <v>346</v>
      </c>
      <c r="L73" s="81"/>
      <c r="M73" s="106" t="s">
        <v>391</v>
      </c>
      <c r="N73" s="82" t="s">
        <v>392</v>
      </c>
      <c r="O73" s="105"/>
      <c r="P73" s="81"/>
      <c r="Q73" s="81"/>
      <c r="R73" s="81"/>
      <c r="S73" s="81" t="s">
        <v>298</v>
      </c>
      <c r="T73" s="84"/>
      <c r="U73" s="88" t="s">
        <v>421</v>
      </c>
      <c r="V73" s="81" t="s">
        <v>340</v>
      </c>
      <c r="W73" s="135"/>
      <c r="X73" s="135"/>
    </row>
    <row r="74" spans="1:24" ht="300" customHeight="1" x14ac:dyDescent="0.25">
      <c r="A74" s="79">
        <v>71</v>
      </c>
      <c r="B74" s="80">
        <v>1126455437</v>
      </c>
      <c r="C74" s="79" t="s">
        <v>393</v>
      </c>
      <c r="D74" s="81" t="s">
        <v>394</v>
      </c>
      <c r="E74" s="82">
        <v>46099</v>
      </c>
      <c r="F74" s="81">
        <v>300000171</v>
      </c>
      <c r="G74" s="83">
        <v>2196</v>
      </c>
      <c r="H74" s="84">
        <v>5641994</v>
      </c>
      <c r="I74" s="81" t="s">
        <v>178</v>
      </c>
      <c r="J74" s="82">
        <v>46099</v>
      </c>
      <c r="K74" s="81" t="s">
        <v>85</v>
      </c>
      <c r="L74" s="81" t="s">
        <v>449</v>
      </c>
      <c r="M74" s="106" t="s">
        <v>395</v>
      </c>
      <c r="N74" s="82">
        <v>46184</v>
      </c>
      <c r="O74" s="105"/>
      <c r="P74" s="81"/>
      <c r="Q74" s="81"/>
      <c r="R74" s="81"/>
      <c r="S74" s="81" t="s">
        <v>451</v>
      </c>
      <c r="T74" s="84"/>
      <c r="U74" s="88" t="s">
        <v>450</v>
      </c>
      <c r="V74" s="81" t="s">
        <v>340</v>
      </c>
      <c r="W74" s="135"/>
      <c r="X74" s="135"/>
    </row>
    <row r="75" spans="1:24" ht="300" customHeight="1" x14ac:dyDescent="0.25">
      <c r="A75" s="92">
        <v>72</v>
      </c>
      <c r="B75" s="91">
        <v>80037114</v>
      </c>
      <c r="C75" s="92" t="s">
        <v>396</v>
      </c>
      <c r="D75" s="93" t="s">
        <v>397</v>
      </c>
      <c r="E75" s="94">
        <v>46101</v>
      </c>
      <c r="F75" s="112"/>
      <c r="G75" s="95">
        <v>4230</v>
      </c>
      <c r="H75" s="96">
        <v>13565569</v>
      </c>
      <c r="I75" s="93" t="s">
        <v>290</v>
      </c>
      <c r="J75" s="94">
        <v>46101</v>
      </c>
      <c r="K75" s="93" t="s">
        <v>346</v>
      </c>
      <c r="L75" s="93" t="s">
        <v>464</v>
      </c>
      <c r="M75" s="92" t="s">
        <v>398</v>
      </c>
      <c r="N75" s="94">
        <v>46176</v>
      </c>
      <c r="O75" s="110"/>
      <c r="P75" s="93"/>
      <c r="Q75" s="93"/>
      <c r="R75" s="93"/>
      <c r="S75" s="93" t="s">
        <v>336</v>
      </c>
      <c r="T75" s="96"/>
      <c r="U75" s="111" t="s">
        <v>465</v>
      </c>
      <c r="V75" s="93" t="s">
        <v>340</v>
      </c>
      <c r="W75" s="135"/>
      <c r="X75" s="135"/>
    </row>
    <row r="76" spans="1:24" ht="300" customHeight="1" x14ac:dyDescent="0.25">
      <c r="A76" s="114">
        <v>73</v>
      </c>
      <c r="B76" s="115">
        <v>1126446970</v>
      </c>
      <c r="C76" s="114" t="s">
        <v>399</v>
      </c>
      <c r="D76" s="116" t="s">
        <v>400</v>
      </c>
      <c r="E76" s="117"/>
      <c r="F76" s="116"/>
      <c r="G76" s="118" t="s">
        <v>401</v>
      </c>
      <c r="H76" s="119">
        <v>7500434</v>
      </c>
      <c r="I76" s="116" t="s">
        <v>402</v>
      </c>
      <c r="J76" s="117">
        <v>46177</v>
      </c>
      <c r="K76" s="116" t="s">
        <v>403</v>
      </c>
      <c r="L76" s="116"/>
      <c r="M76" s="120" t="s">
        <v>404</v>
      </c>
      <c r="N76" s="117"/>
      <c r="O76" s="121"/>
      <c r="P76" s="116"/>
      <c r="Q76" s="116"/>
      <c r="R76" s="116"/>
      <c r="S76" s="116" t="s">
        <v>298</v>
      </c>
      <c r="T76" s="119"/>
      <c r="U76" s="122" t="s">
        <v>405</v>
      </c>
      <c r="V76" s="116" t="s">
        <v>340</v>
      </c>
      <c r="W76" s="135"/>
      <c r="X76" s="135"/>
    </row>
    <row r="77" spans="1:24" ht="300" customHeight="1" x14ac:dyDescent="0.25">
      <c r="A77" s="132">
        <v>74</v>
      </c>
      <c r="B77" s="124">
        <v>1075312350</v>
      </c>
      <c r="C77" s="128" t="s">
        <v>423</v>
      </c>
      <c r="D77" s="127" t="s">
        <v>424</v>
      </c>
      <c r="E77" s="129"/>
      <c r="F77" s="126">
        <v>300000251</v>
      </c>
      <c r="G77" s="126" t="s">
        <v>425</v>
      </c>
      <c r="H77" s="130">
        <v>7620156</v>
      </c>
      <c r="I77" s="125" t="s">
        <v>426</v>
      </c>
      <c r="J77" s="131">
        <v>46085</v>
      </c>
      <c r="K77" s="125"/>
      <c r="L77" s="125"/>
      <c r="M77" s="128" t="s">
        <v>427</v>
      </c>
      <c r="N77" s="125"/>
      <c r="O77" s="125"/>
      <c r="P77" s="125"/>
      <c r="Q77" s="125"/>
      <c r="R77" s="125"/>
      <c r="S77" s="133" t="s">
        <v>298</v>
      </c>
      <c r="T77" s="125"/>
      <c r="U77" s="134" t="s">
        <v>448</v>
      </c>
      <c r="V77" s="123"/>
      <c r="W77" s="135"/>
      <c r="X77" s="135"/>
    </row>
    <row r="78" spans="1:24" x14ac:dyDescent="0.25">
      <c r="A78" s="139"/>
      <c r="B78" s="139"/>
      <c r="C78" s="139"/>
      <c r="D78" s="139"/>
      <c r="E78" s="139"/>
      <c r="F78" s="139"/>
      <c r="G78" s="139"/>
      <c r="H78" s="139"/>
      <c r="I78" s="139"/>
      <c r="J78" s="139"/>
      <c r="K78" s="139"/>
      <c r="L78" s="139"/>
      <c r="M78" s="139"/>
      <c r="N78" s="139"/>
      <c r="O78" s="139"/>
      <c r="P78" s="139"/>
      <c r="Q78" s="139"/>
      <c r="R78" s="139"/>
      <c r="S78" s="139"/>
      <c r="T78" s="139"/>
      <c r="U78" s="139"/>
      <c r="V78" s="139"/>
    </row>
    <row r="79" spans="1:24" x14ac:dyDescent="0.25">
      <c r="A79" s="139"/>
      <c r="B79" s="139"/>
      <c r="C79" s="139"/>
      <c r="D79" s="139"/>
      <c r="E79" s="139"/>
      <c r="F79" s="139"/>
      <c r="G79" s="139"/>
      <c r="H79" s="139"/>
      <c r="I79" s="139"/>
      <c r="J79" s="139"/>
      <c r="K79" s="139"/>
      <c r="L79" s="139"/>
      <c r="M79" s="139"/>
      <c r="N79" s="139"/>
      <c r="O79" s="139"/>
      <c r="P79" s="139"/>
      <c r="Q79" s="139"/>
      <c r="R79" s="139"/>
      <c r="S79" s="139"/>
      <c r="T79" s="139"/>
      <c r="U79" s="139"/>
      <c r="V79" s="139"/>
    </row>
    <row r="80" spans="1:24" x14ac:dyDescent="0.25">
      <c r="A80" s="139"/>
      <c r="B80" s="139"/>
      <c r="C80" s="139"/>
      <c r="D80" s="139"/>
      <c r="E80" s="139"/>
      <c r="F80" s="139"/>
      <c r="G80" s="139"/>
      <c r="H80" s="139"/>
      <c r="I80" s="139"/>
      <c r="J80" s="139"/>
      <c r="K80" s="139"/>
      <c r="L80" s="139"/>
      <c r="M80" s="139"/>
      <c r="N80" s="139"/>
      <c r="O80" s="139"/>
      <c r="P80" s="139"/>
      <c r="Q80" s="139"/>
      <c r="R80" s="139"/>
      <c r="S80" s="139"/>
      <c r="T80" s="139"/>
      <c r="U80" s="139"/>
      <c r="V80" s="139"/>
    </row>
    <row r="81" spans="3:12" ht="78.599999999999994" customHeight="1" x14ac:dyDescent="0.25">
      <c r="C81" s="19" t="s">
        <v>406</v>
      </c>
      <c r="D81" s="20">
        <v>53</v>
      </c>
    </row>
    <row r="82" spans="3:12" ht="87" customHeight="1" x14ac:dyDescent="0.25">
      <c r="C82" s="11" t="s">
        <v>407</v>
      </c>
      <c r="D82" s="8">
        <v>19</v>
      </c>
      <c r="L82" s="3"/>
    </row>
    <row r="83" spans="3:12" ht="29.25" x14ac:dyDescent="0.25">
      <c r="C83" s="10" t="s">
        <v>408</v>
      </c>
      <c r="D83" s="8">
        <v>0</v>
      </c>
      <c r="G83" s="6" t="s">
        <v>409</v>
      </c>
      <c r="H83" s="6"/>
    </row>
    <row r="84" spans="3:12" ht="15.75" x14ac:dyDescent="0.25">
      <c r="C84" s="9" t="s">
        <v>410</v>
      </c>
      <c r="D84" s="12">
        <f>SUM(D81:D83)</f>
        <v>72</v>
      </c>
      <c r="G84" t="s">
        <v>411</v>
      </c>
    </row>
    <row r="85" spans="3:12" x14ac:dyDescent="0.25">
      <c r="G85" t="s">
        <v>412</v>
      </c>
    </row>
  </sheetData>
  <autoFilter ref="A1:V75" xr:uid="{DA89E664-B679-4731-893A-B1E85CC3D3F7}">
    <filterColumn colId="0" showButton="0"/>
    <filterColumn colId="1" showButton="0"/>
    <filterColumn colId="2" showButton="0"/>
    <filterColumn colId="3"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8" showButton="0"/>
    <filterColumn colId="19" showButton="0"/>
    <filterColumn colId="20" showButton="0"/>
  </autoFilter>
  <mergeCells count="6">
    <mergeCell ref="A78:V80"/>
    <mergeCell ref="A1:E2"/>
    <mergeCell ref="F1:R1"/>
    <mergeCell ref="S1:V1"/>
    <mergeCell ref="F2:R2"/>
    <mergeCell ref="S2:V2"/>
  </mergeCells>
  <conditionalFormatting sqref="B4">
    <cfRule type="duplicateValues" dxfId="25" priority="42"/>
  </conditionalFormatting>
  <conditionalFormatting sqref="B5">
    <cfRule type="duplicateValues" dxfId="24" priority="15"/>
    <cfRule type="duplicateValues" dxfId="23" priority="16"/>
  </conditionalFormatting>
  <conditionalFormatting sqref="B6:B8">
    <cfRule type="duplicateValues" dxfId="22" priority="13"/>
  </conditionalFormatting>
  <conditionalFormatting sqref="B9">
    <cfRule type="duplicateValues" dxfId="21" priority="40"/>
    <cfRule type="duplicateValues" dxfId="20" priority="41"/>
  </conditionalFormatting>
  <conditionalFormatting sqref="B14">
    <cfRule type="duplicateValues" dxfId="19" priority="46"/>
  </conditionalFormatting>
  <conditionalFormatting sqref="B16">
    <cfRule type="duplicateValues" dxfId="18" priority="36"/>
  </conditionalFormatting>
  <conditionalFormatting sqref="B17">
    <cfRule type="duplicateValues" dxfId="17" priority="32"/>
    <cfRule type="duplicateValues" dxfId="16" priority="33"/>
  </conditionalFormatting>
  <conditionalFormatting sqref="B18:B19">
    <cfRule type="duplicateValues" dxfId="15" priority="47"/>
  </conditionalFormatting>
  <conditionalFormatting sqref="B20">
    <cfRule type="duplicateValues" dxfId="14" priority="37"/>
  </conditionalFormatting>
  <conditionalFormatting sqref="B21">
    <cfRule type="duplicateValues" dxfId="13" priority="35"/>
  </conditionalFormatting>
  <conditionalFormatting sqref="B22:B23">
    <cfRule type="duplicateValues" dxfId="12" priority="29"/>
    <cfRule type="duplicateValues" dxfId="11" priority="30"/>
  </conditionalFormatting>
  <conditionalFormatting sqref="B24:B25">
    <cfRule type="duplicateValues" dxfId="10" priority="12"/>
  </conditionalFormatting>
  <conditionalFormatting sqref="B26:B27">
    <cfRule type="duplicateValues" dxfId="9" priority="10"/>
  </conditionalFormatting>
  <conditionalFormatting sqref="B28">
    <cfRule type="duplicateValues" dxfId="8" priority="9"/>
  </conditionalFormatting>
  <conditionalFormatting sqref="B32">
    <cfRule type="duplicateValues" dxfId="7" priority="7"/>
  </conditionalFormatting>
  <conditionalFormatting sqref="B33">
    <cfRule type="duplicateValues" dxfId="6" priority="6"/>
  </conditionalFormatting>
  <conditionalFormatting sqref="B34">
    <cfRule type="duplicateValues" dxfId="5" priority="5"/>
  </conditionalFormatting>
  <conditionalFormatting sqref="B36">
    <cfRule type="duplicateValues" dxfId="4" priority="4"/>
  </conditionalFormatting>
  <conditionalFormatting sqref="B13">
    <cfRule type="duplicateValues" dxfId="3" priority="3"/>
  </conditionalFormatting>
  <conditionalFormatting sqref="B37">
    <cfRule type="duplicateValues" dxfId="2" priority="2"/>
  </conditionalFormatting>
  <conditionalFormatting sqref="B38">
    <cfRule type="duplicateValues" dxfId="1" priority="1"/>
  </conditionalFormatting>
  <conditionalFormatting sqref="B24:B25 B29:B31 B35">
    <cfRule type="duplicateValues" dxfId="0" priority="48"/>
  </conditionalFormatting>
  <printOptions horizontalCentered="1"/>
  <pageMargins left="0.70866141732283472" right="0.17" top="0.74803149606299213" bottom="0.74803149606299213" header="0.31496062992125984" footer="0.31496062992125984"/>
  <pageSetup paperSize="14" scale="75"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Informe - Abril-Junio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COOTEP</dc:creator>
  <cp:keywords/>
  <dc:description/>
  <cp:lastModifiedBy>PERSONAL</cp:lastModifiedBy>
  <cp:revision/>
  <dcterms:created xsi:type="dcterms:W3CDTF">2018-07-10T13:54:07Z</dcterms:created>
  <dcterms:modified xsi:type="dcterms:W3CDTF">2026-06-25T17:10:23Z</dcterms:modified>
  <cp:category/>
  <cp:contentStatus/>
</cp:coreProperties>
</file>